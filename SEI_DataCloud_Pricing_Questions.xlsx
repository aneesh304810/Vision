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Question Tracker" sheetId="1" state="visible" r:id="rId3"/>
    <sheet name="Cost Impact Summary" sheetId="2" state="visible" r:id="rId4"/>
    <sheet name="Risk Matrix" sheetId="3" state="visible" r:id="rId5"/>
    <sheet name="Pre-Sign-Off Checklist" sheetId="4" state="visible" r:id="rId6"/>
  </sheets>
  <definedNames>
    <definedName function="false" hidden="true" localSheetId="0" name="_xlnm._FilterDatabase" vbProcedure="false">'Master Question Tracker'!$A$3:$K$56</definedName>
    <definedName function="false" hidden="true" localSheetId="2" name="_xlnm._FilterDatabase" vbProcedure="false">'Risk Matrix'!$A$2:$H$27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<sst xmlns="http://schemas.openxmlformats.org/spreadsheetml/2006/main" count="816" uniqueCount="442">
  <si>
    <t xml:space="preserve">SEI Data Cloud (Azure) — Pricing Gaps &amp; Risk Question Tracker</t>
  </si>
  <si>
    <t xml:space="preserve">BBH Capital Partners Technology | SWP Migration Program | Prepared for David / CTO Review</t>
  </si>
  <si>
    <t xml:space="preserve">#</t>
  </si>
  <si>
    <t xml:space="preserve">Category</t>
  </si>
  <si>
    <t xml:space="preserve">Question</t>
  </si>
  <si>
    <t xml:space="preserve">Why It Matters</t>
  </si>
  <si>
    <t xml:space="preserve">Pricing Impact</t>
  </si>
  <si>
    <t xml:space="preserve">Est. $ Impact</t>
  </si>
  <si>
    <t xml:space="preserve">Risk Level</t>
  </si>
  <si>
    <t xml:space="preserve">Probability</t>
  </si>
  <si>
    <t xml:space="preserve">BBH Action Required</t>
  </si>
  <si>
    <t xml:space="preserve">SEI Owner</t>
  </si>
  <si>
    <t xml:space="preserve">Status</t>
  </si>
  <si>
    <t xml:space="preserve">  PRICING STRUCTURE</t>
  </si>
  <si>
    <t xml:space="preserve">Pricing Structure</t>
  </si>
  <si>
    <t xml:space="preserve">Is the $150K production setup fee a fixed price or estimate — what triggers overruns?</t>
  </si>
  <si>
    <t xml:space="preserve">BBH cannot budget accurately if the fee is variable</t>
  </si>
  <si>
    <t xml:space="preserve">Directly inflates one-time cost beyond $389K</t>
  </si>
  <si>
    <t xml:space="preserve">$50K–$150K+</t>
  </si>
  <si>
    <t xml:space="preserve">Critical</t>
  </si>
  <si>
    <t xml:space="preserve">High</t>
  </si>
  <si>
    <t xml:space="preserve">Demand fixed-price SOW before signing</t>
  </si>
  <si>
    <t xml:space="preserve">Commercial Lead</t>
  </si>
  <si>
    <t xml:space="preserve">Open</t>
  </si>
  <si>
    <t xml:space="preserve">Why does Test Data Replication bill yearly ($9K) while all other test items bill monthly?</t>
  </si>
  <si>
    <t xml:space="preserve">Creates lump-sum cash outflow misaligned with BBH monthly opex cycle</t>
  </si>
  <si>
    <t xml:space="preserve">Cash flow timing mismatch; budget planning disruption</t>
  </si>
  <si>
    <t xml:space="preserve">$9K lump sum</t>
  </si>
  <si>
    <t xml:space="preserve">Medium</t>
  </si>
  <si>
    <t xml:space="preserve">Certain</t>
  </si>
  <si>
    <t xml:space="preserve">Request monthly billing alignment in negotiation</t>
  </si>
  <si>
    <t xml:space="preserve">Is there a multi-year discount if BBH commits to 3–5 years upfront?</t>
  </si>
  <si>
    <t xml:space="preserve">Year 1 cost is ~$986K — even 10% discount saves ~$60K/yr</t>
  </si>
  <si>
    <t xml:space="preserve">Reduces total contract value significantly</t>
  </si>
  <si>
    <t xml:space="preserve">$60K–$100K/yr</t>
  </si>
  <si>
    <t xml:space="preserve">Negotiate multi-year pricing before signing</t>
  </si>
  <si>
    <t xml:space="preserve">Are taxes, Azure marketplace fees, or duties included or added on top?</t>
  </si>
  <si>
    <t xml:space="preserve">Hidden surcharges can add 5–15% to headline pricing</t>
  </si>
  <si>
    <t xml:space="preserve">Inflates total cost of ownership materially</t>
  </si>
  <si>
    <t xml:space="preserve">$30K–$80K/yr</t>
  </si>
  <si>
    <t xml:space="preserve">Confirm all-in pricing in contract schedule</t>
  </si>
  <si>
    <t xml:space="preserve">Legal / Finance</t>
  </si>
  <si>
    <t xml:space="preserve">Is there an annual price escalation clause — what is the cap?</t>
  </si>
  <si>
    <t xml:space="preserve">Recurring fees of $31K/month could increase at renewal</t>
  </si>
  <si>
    <t xml:space="preserve">Compounds annually — 5% escalation = $18K/yr extra by Year 3</t>
  </si>
  <si>
    <t xml:space="preserve">$18K–$55K/yr</t>
  </si>
  <si>
    <t xml:space="preserve">Cap escalation at CPI or 3% in contract</t>
  </si>
  <si>
    <t xml:space="preserve">Legal</t>
  </si>
  <si>
    <t xml:space="preserve">What is the payment milestone schedule for the $389K one-time fees?</t>
  </si>
  <si>
    <t xml:space="preserve">Large upfront payment could conflict with BBH fiscal year budget cycles</t>
  </si>
  <si>
    <t xml:space="preserve">Budget approval may require phased payment structure</t>
  </si>
  <si>
    <t xml:space="preserve">$389K timing</t>
  </si>
  <si>
    <t xml:space="preserve">Request milestone-based payment tied to deliverables</t>
  </si>
  <si>
    <t xml:space="preserve">Finance</t>
  </si>
  <si>
    <t xml:space="preserve">  SNOWFLAKE COMPUTE</t>
  </si>
  <si>
    <t xml:space="preserve">Snowflake Compute</t>
  </si>
  <si>
    <t xml:space="preserve">Is the $7/hr per warehouse or per concurrent user session?</t>
  </si>
  <si>
    <t xml:space="preserve">Multiple BBH users running reports simultaneously could multiply costs</t>
  </si>
  <si>
    <t xml:space="preserve">Could 5x stated compute cost during peak usage</t>
  </si>
  <si>
    <t xml:space="preserve">$50K–$120K/yr variance</t>
  </si>
  <si>
    <t xml:space="preserve">Clarify billing unit; request concurrent user model</t>
  </si>
  <si>
    <t xml:space="preserve">Technical Lead</t>
  </si>
  <si>
    <t xml:space="preserve">Is there a monthly hard cap on Snowflake compute spend?</t>
  </si>
  <si>
    <t xml:space="preserve">No cap = open-ended financial liability on every invoice</t>
  </si>
  <si>
    <t xml:space="preserve">Worst case: 24/7 compute = $60K/yr per environment</t>
  </si>
  <si>
    <t xml:space="preserve">$60K–$120K uncapped</t>
  </si>
  <si>
    <t xml:space="preserve">Contractually cap monthly compute; require alerts</t>
  </si>
  <si>
    <t xml:space="preserve">Who controls warehouse sizing — can SEI upgrade size without BBH approval?</t>
  </si>
  <si>
    <t xml:space="preserve">Larger warehouse = higher $/hr — BBH loses cost control</t>
  </si>
  <si>
    <t xml:space="preserve">Auto-upgrade from S→M doubles compute cost</t>
  </si>
  <si>
    <t xml:space="preserve">2x compute cost</t>
  </si>
  <si>
    <t xml:space="preserve">Require BBH written approval for warehouse size changes</t>
  </si>
  <si>
    <t xml:space="preserve">Are SEI internal maintenance jobs billed against BBH's compute?</t>
  </si>
  <si>
    <t xml:space="preserve">BBH should not pay for SEI's operational overhead</t>
  </si>
  <si>
    <t xml:space="preserve">Invisible cost leakage — no line-item visibility</t>
  </si>
  <si>
    <t xml:space="preserve">$5K–$20K/yr</t>
  </si>
  <si>
    <t xml:space="preserve">Require compute isolation — BBH workloads only</t>
  </si>
  <si>
    <t xml:space="preserve">What is the average monthly compute spend for a comparable client?</t>
  </si>
  <si>
    <t xml:space="preserve">Benchmarks real-world cost vs $7/hr theoretical estimate</t>
  </si>
  <si>
    <t xml:space="preserve">Informs realistic budget planning beyond base fees</t>
  </si>
  <si>
    <t xml:space="preserve">Unknown — need data</t>
  </si>
  <si>
    <t xml:space="preserve">Request 3 comparable client compute spend profiles</t>
  </si>
  <si>
    <t xml:space="preserve">Is compute billed per-second or rounded up to the full hour?</t>
  </si>
  <si>
    <t xml:space="preserve">Per-second is significantly cheaper for short burst queries</t>
  </si>
  <si>
    <t xml:space="preserve">Could reduce compute costs 30–50% if per-second</t>
  </si>
  <si>
    <t xml:space="preserve">$15K–$30K/yr saving</t>
  </si>
  <si>
    <t xml:space="preserve">Confirm billing granularity in pricing schedule</t>
  </si>
  <si>
    <t xml:space="preserve">During migration UAT — do both environments run simultaneously at full compute?</t>
  </si>
  <si>
    <t xml:space="preserve">Peak period: Production validation + Test parallel run = double compute burn</t>
  </si>
  <si>
    <t xml:space="preserve">Migration phase worst-case compute spike</t>
  </si>
  <si>
    <t xml:space="preserve">$10K–$20K extra</t>
  </si>
  <si>
    <t xml:space="preserve">Get migration phase compute estimate from SEI</t>
  </si>
  <si>
    <t xml:space="preserve">Program Manager</t>
  </si>
  <si>
    <t xml:space="preserve">  DATA REPLICATION</t>
  </si>
  <si>
    <t xml:space="preserve">Data Replication</t>
  </si>
  <si>
    <t xml:space="preserve">What is the pricing tier above 15K accounts — is there a published rate card?</t>
  </si>
  <si>
    <t xml:space="preserve">BBH Capital Partners growth may exceed 15K account threshold</t>
  </si>
  <si>
    <t xml:space="preserve">Unplanned overage could trigger full contract renegotiation</t>
  </si>
  <si>
    <t xml:space="preserve">Unknown — material</t>
  </si>
  <si>
    <t xml:space="preserve">Obtain tiered pricing schedule up to 50K accounts</t>
  </si>
  <si>
    <t xml:space="preserve">Are historical data backfill loads included in the $150K or billed separately?</t>
  </si>
  <si>
    <t xml:space="preserve">Initial migration requires loading years of historical data — a large one-time compute event</t>
  </si>
  <si>
    <t xml:space="preserve">Could add $20K–$50K to one-time cost not in current pricing</t>
  </si>
  <si>
    <t xml:space="preserve">$20K–$50K</t>
  </si>
  <si>
    <t xml:space="preserve">Confirm scope of one-time fee covers historical load</t>
  </si>
  <si>
    <t xml:space="preserve">Is there a data volume (GB/TB) limit in addition to the 15K account limit?</t>
  </si>
  <si>
    <t xml:space="preserve">High-volume accounts (hedge funds, family offices) may have disproportionate data</t>
  </si>
  <si>
    <t xml:space="preserve">Volume overage could trigger surcharge outside account pricing</t>
  </si>
  <si>
    <t xml:space="preserve">Unknown</t>
  </si>
  <si>
    <t xml:space="preserve">Request data volume policy and overage rates</t>
  </si>
  <si>
    <t xml:space="preserve">Who pays for replication retry compute when BBH sends a bad data file?</t>
  </si>
  <si>
    <t xml:space="preserve">Data quality issues are common during migration — retries are inevitable</t>
  </si>
  <si>
    <t xml:space="preserve">Accumulated retry costs could be significant during migration</t>
  </si>
  <si>
    <t xml:space="preserve">$5K–$15K</t>
  </si>
  <si>
    <t xml:space="preserve">Define retry cost responsibility in SLA schedule</t>
  </si>
  <si>
    <t xml:space="preserve">What is the replication latency guarantee — what SLA breach looks like?</t>
  </si>
  <si>
    <t xml:space="preserve">Stale data in SEI SDV = incorrect client reporting = NYDFS exposure</t>
  </si>
  <si>
    <t xml:space="preserve">No SLA credit for stale data = BBH bears regulatory risk</t>
  </si>
  <si>
    <t xml:space="preserve">Regulatory fine risk</t>
  </si>
  <si>
    <t xml:space="preserve">Define latency SLA with credits for breach</t>
  </si>
  <si>
    <t xml:space="preserve">  EVENT HUB</t>
  </si>
  <si>
    <t xml:space="preserve">Event Hub</t>
  </si>
  <si>
    <t xml:space="preserve">What is the max events/sec guaranteed at $6,750/month — is there a throughput limit?</t>
  </si>
  <si>
    <t xml:space="preserve">Month-end and quarter-end event spikes could breach throughput limits</t>
  </si>
  <si>
    <t xml:space="preserve">Throttled events = processing delays = client reporting errors</t>
  </si>
  <si>
    <t xml:space="preserve">Service disruption risk</t>
  </si>
  <si>
    <t xml:space="preserve">Get guaranteed throughput SPS in contract</t>
  </si>
  <si>
    <t xml:space="preserve">Is the Event Hub dedicated to BBH or shared across multiple SEI clients?</t>
  </si>
  <si>
    <t xml:space="preserve">Shared infrastructure means noisy-neighbour risk — another client's spike affects BBH</t>
  </si>
  <si>
    <t xml:space="preserve">Performance degradation with no recourse</t>
  </si>
  <si>
    <t xml:space="preserve">Service risk</t>
  </si>
  <si>
    <t xml:space="preserve">Require dedicated Event Hub tier for BBH</t>
  </si>
  <si>
    <t xml:space="preserve">What is event retention period — can BBH replay events for reconciliation?</t>
  </si>
  <si>
    <t xml:space="preserve">Reconciliation after NYDFS audit or client dispute requires historical event replay</t>
  </si>
  <si>
    <t xml:space="preserve">If retention is &lt;7 days BBH needs supplementary event store</t>
  </si>
  <si>
    <t xml:space="preserve">$10K–$30K build cost</t>
  </si>
  <si>
    <t xml:space="preserve">Require minimum 30-day retention for NYDFS compliance</t>
  </si>
  <si>
    <t xml:space="preserve">Legal / Compliance</t>
  </si>
  <si>
    <t xml:space="preserve">Are there additional fees if BBH event volume spikes at month-end?</t>
  </si>
  <si>
    <t xml:space="preserve">Month-end = trade settlement + fee accrual + position reconciliation all at once</t>
  </si>
  <si>
    <t xml:space="preserve">Unplanned overage charge at month-end every month</t>
  </si>
  <si>
    <t xml:space="preserve">$2K–$10K/month</t>
  </si>
  <si>
    <t xml:space="preserve">Define burst capacity policy and cost cap</t>
  </si>
  <si>
    <t xml:space="preserve">  SDV DATA VISION</t>
  </si>
  <si>
    <t xml:space="preserve">SDV Data Vision</t>
  </si>
  <si>
    <t xml:space="preserve">How many concurrent users are included in the $12,335/month SDV fee?</t>
  </si>
  <si>
    <t xml:space="preserve">If BBH has 50+ RM users all running reports simultaneously — is that included?</t>
  </si>
  <si>
    <t xml:space="preserve">Per-user licensing on top could double SDV cost</t>
  </si>
  <si>
    <t xml:space="preserve">$50K–$100K/yr</t>
  </si>
  <si>
    <t xml:space="preserve">Request named-user vs concurrent-user pricing model</t>
  </si>
  <si>
    <t xml:space="preserve">Are NYDFS-required regulatory reports included or separate modules?</t>
  </si>
  <si>
    <t xml:space="preserve">Hema's compliance team needs specific NYDFS Part 500 reporting outputs</t>
  </si>
  <si>
    <t xml:space="preserve">Regulatory report modules could add $20K–$50K/yr</t>
  </si>
  <si>
    <t xml:space="preserve">$20K–$50K/yr</t>
  </si>
  <si>
    <t xml:space="preserve">Get full module catalogue with pricing</t>
  </si>
  <si>
    <t xml:space="preserve">What is the cost of custom report development beyond standard templates?</t>
  </si>
  <si>
    <t xml:space="preserve">BBH has bespoke reporting requirements for Capital Partners clients</t>
  </si>
  <si>
    <t xml:space="preserve">Professional services fees for customization not in baseline pricing</t>
  </si>
  <si>
    <t xml:space="preserve">$50K–$200K</t>
  </si>
  <si>
    <t xml:space="preserve">Define custom development rate card upfront</t>
  </si>
  <si>
    <t xml:space="preserve">Is there an API for programmatic data extract from SDV — and is it included?</t>
  </si>
  <si>
    <t xml:space="preserve">BBH's Airflow pipelines may need to pull SDV data for downstream systems</t>
  </si>
  <si>
    <t xml:space="preserve">API access may require premium tier adding $10K–$30K/yr</t>
  </si>
  <si>
    <t xml:space="preserve">$10K–$30K/yr</t>
  </si>
  <si>
    <t xml:space="preserve">Confirm API access tier and cost</t>
  </si>
  <si>
    <t xml:space="preserve">  SECURITY &amp; COMPLIANCE</t>
  </si>
  <si>
    <t xml:space="preserve">Security &amp; Compliance</t>
  </si>
  <si>
    <t xml:space="preserve">Is production client data masked in the Test environment?</t>
  </si>
  <si>
    <t xml:space="preserve">Unmasked PII in test = NYDFS Part 500 violation — significant regulatory exposure</t>
  </si>
  <si>
    <t xml:space="preserve">Retroactive masking implementation cost if not included</t>
  </si>
  <si>
    <t xml:space="preserve">Require data masking confirmation in security schedule</t>
  </si>
  <si>
    <t xml:space="preserve">Are BBH's Azure Key Vault / BYOK encryption keys included or extra?</t>
  </si>
  <si>
    <t xml:space="preserve">BBH InfoSec likely requires control over their own encryption keys</t>
  </si>
  <si>
    <t xml:space="preserve">BYOK may add $10K–$25K/yr in Azure Key Vault premium fees</t>
  </si>
  <si>
    <t xml:space="preserve">$10K–$25K/yr</t>
  </si>
  <si>
    <t xml:space="preserve">Confirm encryption key ownership in security schedule</t>
  </si>
  <si>
    <t xml:space="preserve">InfoSec</t>
  </si>
  <si>
    <t xml:space="preserve">Does SEI have SOC 2 Type II covering the Azure Data Cloud specifically?</t>
  </si>
  <si>
    <t xml:space="preserve">BBH's third-party risk management process requires SOC 2 evidence</t>
  </si>
  <si>
    <t xml:space="preserve">Without SOC 2 BBH cannot onboard SEI as a NYDFS-approved vendor</t>
  </si>
  <si>
    <t xml:space="preserve">Vendor onboarding blocker</t>
  </si>
  <si>
    <t xml:space="preserve">Request SOC 2 Type II report before contract signing</t>
  </si>
  <si>
    <t xml:space="preserve">Compliance / Hema</t>
  </si>
  <si>
    <t xml:space="preserve">Is Azure Private Link used — or does BBH data traverse public internet?</t>
  </si>
  <si>
    <t xml:space="preserve">Data in transit over public internet = NYDFS Part 500 encryption requirement</t>
  </si>
  <si>
    <t xml:space="preserve">Private Link setup may require premium Azure networking fees</t>
  </si>
  <si>
    <t xml:space="preserve">$5K–$15K/yr</t>
  </si>
  <si>
    <t xml:space="preserve">Confirm network path and private connectivity</t>
  </si>
  <si>
    <t xml:space="preserve">Are NYDFS audit log retention requirements (6 years) covered in baseline?</t>
  </si>
  <si>
    <t xml:space="preserve">NYDFS requires 6-year audit trail — standard cloud log retention is 30–90 days</t>
  </si>
  <si>
    <t xml:space="preserve">Extended log retention in Azure Log Analytics = significant storage cost</t>
  </si>
  <si>
    <t xml:space="preserve">Confirm log retention policy and cost for 6-year NYDFS requirement</t>
  </si>
  <si>
    <t xml:space="preserve">  SLA &amp; SUPPORT</t>
  </si>
  <si>
    <t xml:space="preserve">SLA &amp; Support</t>
  </si>
  <si>
    <t xml:space="preserve">What uptime SLA applies — and are SLA credits offered for breach?</t>
  </si>
  <si>
    <t xml:space="preserve">BBH pays $31K/month regardless — no credits = SEI has no downtime incentive</t>
  </si>
  <si>
    <t xml:space="preserve">Client reporting failure during NYDFS review = regulatory exposure</t>
  </si>
  <si>
    <t xml:space="preserve">Regulatory / reputational</t>
  </si>
  <si>
    <t xml:space="preserve">Require 99.9% SLA with meaningful credit schedule</t>
  </si>
  <si>
    <t xml:space="preserve">What is P1 incident response time for full platform outage?</t>
  </si>
  <si>
    <t xml:space="preserve">If SDV goes down during client statement cycle — what is SEI's commitment?</t>
  </si>
  <si>
    <t xml:space="preserve">No committed response time = uncontrolled client impact</t>
  </si>
  <si>
    <t xml:space="preserve">Service disruption</t>
  </si>
  <si>
    <t xml:space="preserve">Define P1 = 15-min response, 2-hour resolution in contract</t>
  </si>
  <si>
    <t xml:space="preserve">Is a dedicated Technical Account Manager included or an add-on?</t>
  </si>
  <si>
    <t xml:space="preserve">During migration BBH needs a single SEI point of contact — not a ticket queue</t>
  </si>
  <si>
    <t xml:space="preserve">Dedicated TAM typically adds $25K–$50K/yr if not included</t>
  </si>
  <si>
    <t xml:space="preserve">$25K–$50K/yr</t>
  </si>
  <si>
    <t xml:space="preserve">Require dedicated TAM in baseline contract</t>
  </si>
  <si>
    <t xml:space="preserve">Are planned maintenance windows excluded from uptime SLA calculation?</t>
  </si>
  <si>
    <t xml:space="preserve">If SEI counts maintenance as uptime exclusion — real availability could be 97–98%</t>
  </si>
  <si>
    <t xml:space="preserve">SLA appears strong but actual availability is materially lower</t>
  </si>
  <si>
    <t xml:space="preserve">Misleading SLA</t>
  </si>
  <si>
    <t xml:space="preserve">Define maximum monthly maintenance window allowance</t>
  </si>
  <si>
    <t xml:space="preserve">  IMPLEMENTATION</t>
  </si>
  <si>
    <t xml:space="preserve">Implementation</t>
  </si>
  <si>
    <t xml:space="preserve">Is there a detailed SOW with milestones and acceptance criteria for the $389K?</t>
  </si>
  <si>
    <t xml:space="preserve">Without SOW BBH has no contractual recourse if SEI underdelivers</t>
  </si>
  <si>
    <t xml:space="preserve">$389K paid with no enforceable deliverables = pure risk</t>
  </si>
  <si>
    <t xml:space="preserve">$389K at risk</t>
  </si>
  <si>
    <t xml:space="preserve">Require SOW before any payment</t>
  </si>
  <si>
    <t xml:space="preserve">Legal / Program Manager</t>
  </si>
  <si>
    <t xml:space="preserve">Does the $389K include Airflow-to-Azure integration connectors?</t>
  </si>
  <si>
    <t xml:space="preserve">BBH's OpenShift Airflow pipelines must connect to SEI Azure — who builds the bridge?</t>
  </si>
  <si>
    <t xml:space="preserve">If not included BBH must fund and build integration internally</t>
  </si>
  <si>
    <t xml:space="preserve">$50K–$100K</t>
  </si>
  <si>
    <t xml:space="preserve">Define integration responsibility in SOW explicitly</t>
  </si>
  <si>
    <t xml:space="preserve">Technical Lead / Andrew</t>
  </si>
  <si>
    <t xml:space="preserve">What is SEI's committed go-live timeline — and are there delay penalties?</t>
  </si>
  <si>
    <t xml:space="preserve">SWP migration is on a regulatory timeline — delays have NYDFS implications</t>
  </si>
  <si>
    <t xml:space="preserve">No penalty clause = SEI has no incentive to meet BBH's timeline</t>
  </si>
  <si>
    <t xml:space="preserve">Program timeline risk</t>
  </si>
  <si>
    <t xml:space="preserve">Define milestone dates with financial penalties for delay</t>
  </si>
  <si>
    <t xml:space="preserve">Does the 4-day Technical Overview cover BBH-specific configuration or generic?</t>
  </si>
  <si>
    <t xml:space="preserve">Generic training is insufficient for BBH's bespoke Capital Partners data model</t>
  </si>
  <si>
    <t xml:space="preserve">BBH may need additional paid professional services post-training</t>
  </si>
  <si>
    <t xml:space="preserve">$30K–$80K</t>
  </si>
  <si>
    <t xml:space="preserve">Define scope of training in SOW — BBH specific vs generic</t>
  </si>
  <si>
    <t xml:space="preserve">Is there a formal data migration runbook SEI provides for AddVantage/STAR cutover?</t>
  </si>
  <si>
    <t xml:space="preserve">BBH is migrating ~2,500 legacy jobs — SEI guidance on migration sequencing is critical</t>
  </si>
  <si>
    <t xml:space="preserve">Without runbook BBH bears full migration design risk</t>
  </si>
  <si>
    <t xml:space="preserve">Migration failure risk</t>
  </si>
  <si>
    <t xml:space="preserve">Request SEI migration methodology documentation before signing</t>
  </si>
  <si>
    <t xml:space="preserve">  CONTRACT &amp; EXIT</t>
  </si>
  <si>
    <t xml:space="preserve">Contract &amp; Exit</t>
  </si>
  <si>
    <t xml:space="preserve">Is the $389K one-time fee fully refundable if BBH exits within Year 1?</t>
  </si>
  <si>
    <t xml:space="preserve">If SEI underperforms BBH cannot recover setup investment</t>
  </si>
  <si>
    <t xml:space="preserve">Non-refundable $389K = lock-in from day one</t>
  </si>
  <si>
    <t xml:space="preserve">$389K stranded cost</t>
  </si>
  <si>
    <t xml:space="preserve">Negotiate partial refund schedule tied to milestones</t>
  </si>
  <si>
    <t xml:space="preserve">In what format and timeframe is BBH's data returned upon termination?</t>
  </si>
  <si>
    <t xml:space="preserve">Snowflake-native format may not be compatible with BBH's Oracle stack</t>
  </si>
  <si>
    <t xml:space="preserve">Data migration cost to rebuild from SEI export = $100K+</t>
  </si>
  <si>
    <t xml:space="preserve">$100K+ exit cost</t>
  </si>
  <si>
    <t xml:space="preserve">Define data return format (CSV/Parquet) and 30-day SLA</t>
  </si>
  <si>
    <t xml:space="preserve">If SEI is acquired — does BBH's contract auto-transfer on same terms?</t>
  </si>
  <si>
    <t xml:space="preserve">SEI acquisition could change pricing, support model, or platform roadmap</t>
  </si>
  <si>
    <t xml:space="preserve">BBH loses negotiated protections under new ownership</t>
  </si>
  <si>
    <t xml:space="preserve">Contractual risk</t>
  </si>
  <si>
    <t xml:space="preserve">Low</t>
  </si>
  <si>
    <t xml:space="preserve">Insert change-of-control clause protecting BBH terms</t>
  </si>
  <si>
    <t xml:space="preserve">What is the minimum notice period for termination — 30, 60, or 90 days?</t>
  </si>
  <si>
    <t xml:space="preserve">Short notice period = flexibility; long notice = extended cost exposure</t>
  </si>
  <si>
    <t xml:space="preserve">Longer notice = paying for unwanted service during transition</t>
  </si>
  <si>
    <t xml:space="preserve">$31K–$93K/month</t>
  </si>
  <si>
    <t xml:space="preserve">Cap notice period at 30 days in contract</t>
  </si>
  <si>
    <t xml:space="preserve">SEI Data Cloud — Financial Exposure Summary</t>
  </si>
  <si>
    <t xml:space="preserve">Stated pricing vs. potential total cost exposure with identified gaps</t>
  </si>
  <si>
    <t xml:space="preserve">STATED ANNUAL COST (from pricing sheet)</t>
  </si>
  <si>
    <t xml:space="preserve">Component</t>
  </si>
  <si>
    <t xml:space="preserve">Production</t>
  </si>
  <si>
    <t xml:space="preserve">Test</t>
  </si>
  <si>
    <t xml:space="preserve">Total Annual</t>
  </si>
  <si>
    <t xml:space="preserve">Billing Type</t>
  </si>
  <si>
    <t xml:space="preserve">Data Replication — Recurring</t>
  </si>
  <si>
    <t xml:space="preserve">Prod=Monthly / Test=Yearly</t>
  </si>
  <si>
    <t xml:space="preserve">Event Hub — Recurring</t>
  </si>
  <si>
    <t xml:space="preserve">Monthly</t>
  </si>
  <si>
    <t xml:space="preserve">SDV Data Vision — Recurring</t>
  </si>
  <si>
    <t xml:space="preserve">Snowflake Compute (moderate est.)</t>
  </si>
  <si>
    <t xml:space="preserve">Usage-based $7/hr</t>
  </si>
  <si>
    <t xml:space="preserve">One-Time Setup (amortised Y1)</t>
  </si>
  <si>
    <t xml:space="preserve">One-time</t>
  </si>
  <si>
    <t xml:space="preserve">TOTAL STATED YEAR 1 COST</t>
  </si>
  <si>
    <t xml:space="preserve">IDENTIFIED PRICING GAPS — ADDITIONAL EXPOSURE</t>
  </si>
  <si>
    <t xml:space="preserve">Risk / Gap</t>
  </si>
  <si>
    <t xml:space="preserve">Low Estimate</t>
  </si>
  <si>
    <t xml:space="preserve">High Estimate</t>
  </si>
  <si>
    <t xml:space="preserve">Likelihood</t>
  </si>
  <si>
    <t xml:space="preserve">Mitigation</t>
  </si>
  <si>
    <t xml:space="preserve">Snowflake compute uncapped overage</t>
  </si>
  <si>
    <t xml:space="preserve">Cap compute monthly; set alerts</t>
  </si>
  <si>
    <t xml:space="preserve">Test environment permanent cost</t>
  </si>
  <si>
    <t xml:space="preserve">Budget as recurring opex; negotiate reduced rate</t>
  </si>
  <si>
    <t xml:space="preserve">Account ceiling overage (&gt;15K)</t>
  </si>
  <si>
    <t xml:space="preserve">Obtain tiered pricing schedule now</t>
  </si>
  <si>
    <t xml:space="preserve">NYDFS regulatory reports (extra module)</t>
  </si>
  <si>
    <t xml:space="preserve">Include in scope or budget separately</t>
  </si>
  <si>
    <t xml:space="preserve">Production data in test (masking cost)</t>
  </si>
  <si>
    <t xml:space="preserve">Require masking in baseline contract</t>
  </si>
  <si>
    <t xml:space="preserve">Setup fee overrun (no SOW)</t>
  </si>
  <si>
    <t xml:space="preserve">Fixed-price SOW before signing</t>
  </si>
  <si>
    <t xml:space="preserve">Custom report development</t>
  </si>
  <si>
    <t xml:space="preserve">Define custom dev rate card upfront</t>
  </si>
  <si>
    <t xml:space="preserve">Airflow-to-Azure integration (BBH build)</t>
  </si>
  <si>
    <t xml:space="preserve">Clarify in SOW — SEI or BBH responsibility</t>
  </si>
  <si>
    <t xml:space="preserve">Azure egress fees</t>
  </si>
  <si>
    <t xml:space="preserve">Confirm inclusion in baseline fee</t>
  </si>
  <si>
    <t xml:space="preserve">Dedicated TAM add-on</t>
  </si>
  <si>
    <t xml:space="preserve">Include TAM in baseline contract</t>
  </si>
  <si>
    <t xml:space="preserve">BYOK / Azure Key Vault premium</t>
  </si>
  <si>
    <t xml:space="preserve">Confirm encryption key ownership</t>
  </si>
  <si>
    <t xml:space="preserve">Annual price escalation (5% yr 3)</t>
  </si>
  <si>
    <t xml:space="preserve">Cap at CPI or 3% in contract</t>
  </si>
  <si>
    <t xml:space="preserve">Exit data migration cost</t>
  </si>
  <si>
    <t xml:space="preserve">Define data return format in contract</t>
  </si>
  <si>
    <t xml:space="preserve">Event Hub burst charges (month-end)</t>
  </si>
  <si>
    <t xml:space="preserve">Define burst policy and cost cap</t>
  </si>
  <si>
    <t xml:space="preserve">Extended log retention (NYDFS 6yr)</t>
  </si>
  <si>
    <t xml:space="preserve">Confirm 6-year retention in baseline</t>
  </si>
  <si>
    <t xml:space="preserve">TOTAL ADDITIONAL EXPOSURE</t>
  </si>
  <si>
    <t xml:space="preserve">⚠️  WORST CASE YEAR 1 TOTAL  (Stated + High Exposure) →  =SUM(D6:D10)+C30</t>
  </si>
  <si>
    <t xml:space="preserve">SEI Data Cloud — Risk Prioritisation Matrix</t>
  </si>
  <si>
    <t xml:space="preserve">Risk Description</t>
  </si>
  <si>
    <t xml:space="preserve">Financial Impact ($)</t>
  </si>
  <si>
    <t xml:space="preserve">BBH Action</t>
  </si>
  <si>
    <t xml:space="preserve">Due Before</t>
  </si>
  <si>
    <t xml:space="preserve">Snowflake compute uncapped — open financial liability</t>
  </si>
  <si>
    <t xml:space="preserve">Compute</t>
  </si>
  <si>
    <t xml:space="preserve">$20K–$120K/yr</t>
  </si>
  <si>
    <t xml:space="preserve">Cap monthly compute; require alert thresholds</t>
  </si>
  <si>
    <t xml:space="preserve">Contract signing</t>
  </si>
  <si>
    <t xml:space="preserve">No SOW for $389K one-time fee</t>
  </si>
  <si>
    <t xml:space="preserve">Demand SOW with milestones before any payment</t>
  </si>
  <si>
    <t xml:space="preserve">Production data unmasked in Test environment</t>
  </si>
  <si>
    <t xml:space="preserve">Compliance</t>
  </si>
  <si>
    <t xml:space="preserve">Regulatory fine</t>
  </si>
  <si>
    <t xml:space="preserve">Require data masking in security schedule</t>
  </si>
  <si>
    <t xml:space="preserve">NYDFS 6-year log retention not confirmed</t>
  </si>
  <si>
    <t xml:space="preserve">Confirm retention policy; cost inclusion</t>
  </si>
  <si>
    <t xml:space="preserve">Account ceiling overage pricing unknown (&gt;15K accounts)</t>
  </si>
  <si>
    <t xml:space="preserve">Pricing</t>
  </si>
  <si>
    <t xml:space="preserve">Obtain tiered rate card before signing</t>
  </si>
  <si>
    <t xml:space="preserve">NYDFS regulatory report modules not in baseline</t>
  </si>
  <si>
    <t xml:space="preserve">No uptime SLA credits for downtime</t>
  </si>
  <si>
    <t xml:space="preserve">SLA</t>
  </si>
  <si>
    <t xml:space="preserve">Regulatory exposure</t>
  </si>
  <si>
    <t xml:space="preserve">Define SLA credits in contract</t>
  </si>
  <si>
    <t xml:space="preserve">Test environment cost is permanent post go-live</t>
  </si>
  <si>
    <t xml:space="preserve">$184K/yr ongoing</t>
  </si>
  <si>
    <t xml:space="preserve">Budget as permanent opex; negotiate reduced rate</t>
  </si>
  <si>
    <t xml:space="preserve">Budget planning</t>
  </si>
  <si>
    <t xml:space="preserve">Airflow-to-Azure integration responsibility undefined</t>
  </si>
  <si>
    <t xml:space="preserve">$50K–$100K build</t>
  </si>
  <si>
    <t xml:space="preserve">Define in SOW — SEI or BBH responsibility</t>
  </si>
  <si>
    <t xml:space="preserve">SOW negotiation</t>
  </si>
  <si>
    <t xml:space="preserve">Historical backfill load not in $150K setup fee</t>
  </si>
  <si>
    <t xml:space="preserve">$20K–$50K extra</t>
  </si>
  <si>
    <t xml:space="preserve">Confirm historical load scope in SOW</t>
  </si>
  <si>
    <t xml:space="preserve">Custom report development not in baseline</t>
  </si>
  <si>
    <t xml:space="preserve">SDV</t>
  </si>
  <si>
    <t xml:space="preserve">No go-live timeline penalty clause</t>
  </si>
  <si>
    <t xml:space="preserve">Program delay</t>
  </si>
  <si>
    <t xml:space="preserve">Define milestone penalties for SEI delay</t>
  </si>
  <si>
    <t xml:space="preserve">No annual price escalation cap</t>
  </si>
  <si>
    <t xml:space="preserve">$18K–$55K/yr by Yr3</t>
  </si>
  <si>
    <t xml:space="preserve">Dedicated TAM not confirmed in baseline</t>
  </si>
  <si>
    <t xml:space="preserve">Support</t>
  </si>
  <si>
    <t xml:space="preserve">Snowflake warehouse sizing controlled by SEI</t>
  </si>
  <si>
    <t xml:space="preserve">Require BBH written approval for size changes</t>
  </si>
  <si>
    <t xml:space="preserve">Event Hub shared across SEI clients (noisy neighbour)</t>
  </si>
  <si>
    <t xml:space="preserve">Service degradation</t>
  </si>
  <si>
    <t xml:space="preserve">Require dedicated Event Hub tier</t>
  </si>
  <si>
    <t xml:space="preserve">Azure BYOK / Key Vault not confirmed included</t>
  </si>
  <si>
    <t xml:space="preserve">Security</t>
  </si>
  <si>
    <t xml:space="preserve">Confirm encryption ownership in security schedule</t>
  </si>
  <si>
    <t xml:space="preserve">SEI acquisition — contract protection unclear</t>
  </si>
  <si>
    <t xml:space="preserve">Contract</t>
  </si>
  <si>
    <t xml:space="preserve">Full contract risk</t>
  </si>
  <si>
    <t xml:space="preserve">Insert change-of-control clause</t>
  </si>
  <si>
    <t xml:space="preserve">Event Hub burst charges at month-end</t>
  </si>
  <si>
    <t xml:space="preserve">$5K–$30K/month</t>
  </si>
  <si>
    <t xml:space="preserve">Define burst policy and hard cap</t>
  </si>
  <si>
    <t xml:space="preserve">Azure egress fees not confirmed included</t>
  </si>
  <si>
    <t xml:space="preserve">Infrastructure</t>
  </si>
  <si>
    <t xml:space="preserve">$10K–$40K/yr</t>
  </si>
  <si>
    <t xml:space="preserve">Confirm in all-in pricing schedule</t>
  </si>
  <si>
    <t xml:space="preserve">Test billing cycle mismatch (yearly vs monthly)</t>
  </si>
  <si>
    <t xml:space="preserve">Cash flow timing</t>
  </si>
  <si>
    <t xml:space="preserve">Request monthly billing alignment</t>
  </si>
  <si>
    <t xml:space="preserve">Snowflake billed rounded-up hourly not per-second</t>
  </si>
  <si>
    <t xml:space="preserve">$15K–$30K/yr</t>
  </si>
  <si>
    <t xml:space="preserve">Confirm billing granularity</t>
  </si>
  <si>
    <t xml:space="preserve">Exit data return format not defined</t>
  </si>
  <si>
    <t xml:space="preserve">$100K+ rebuild</t>
  </si>
  <si>
    <t xml:space="preserve">Define return format and 30-day SLA</t>
  </si>
  <si>
    <t xml:space="preserve">Event Hub message retention &lt;30 days</t>
  </si>
  <si>
    <t xml:space="preserve">Build supplementary store</t>
  </si>
  <si>
    <t xml:space="preserve">Require 30-day minimum retention</t>
  </si>
  <si>
    <t xml:space="preserve">Payment milestone schedule not defined for $389K</t>
  </si>
  <si>
    <t xml:space="preserve">Budget approval risk</t>
  </si>
  <si>
    <t xml:space="preserve">Request milestone-based payment</t>
  </si>
  <si>
    <t xml:space="preserve">Finance planning</t>
  </si>
  <si>
    <t xml:space="preserve">SEI Data Cloud — Pre-Contract Sign-Off Checklist  |  David / CTO Review</t>
  </si>
  <si>
    <t xml:space="preserve">Must-Answer Question</t>
  </si>
  <si>
    <t xml:space="preserve">Why Critical</t>
  </si>
  <si>
    <t xml:space="preserve">Owner</t>
  </si>
  <si>
    <t xml:space="preserve">Target Date</t>
  </si>
  <si>
    <t xml:space="preserve">Obtain detailed SOW with milestones and acceptance criteria for the $389K</t>
  </si>
  <si>
    <t xml:space="preserve">Without SOW BBH has no contractual protection on $389K</t>
  </si>
  <si>
    <t xml:space="preserve">Legal / Program Mgr</t>
  </si>
  <si>
    <t xml:space="preserve">Pre-signing</t>
  </si>
  <si>
    <t xml:space="preserve">⬜ Open</t>
  </si>
  <si>
    <t xml:space="preserve">Confirm Snowflake compute monthly hard cap with auto-alert thresholds</t>
  </si>
  <si>
    <t xml:space="preserve">Open compute = open financial liability on every invoice</t>
  </si>
  <si>
    <t xml:space="preserve">Confirm production data is masked in Test environment</t>
  </si>
  <si>
    <t xml:space="preserve">Unmasked PII in test = NYDFS Part 500 violation</t>
  </si>
  <si>
    <t xml:space="preserve">Obtain SEI SOC 2 Type II report covering Azure Data Cloud</t>
  </si>
  <si>
    <t xml:space="preserve">Required for NYDFS third-party risk management onboarding</t>
  </si>
  <si>
    <t xml:space="preserve">Confirm account overage pricing above 15K — get tiered rate card</t>
  </si>
  <si>
    <t xml:space="preserve">Growth beyond 15K triggers unbudgeted renegotiation</t>
  </si>
  <si>
    <t xml:space="preserve">Confirm NYDFS regulatory report modules are in scope</t>
  </si>
  <si>
    <t xml:space="preserve">Compliance reports are non-negotiable — must be included or budgeted</t>
  </si>
  <si>
    <t xml:space="preserve">Legal / Hema</t>
  </si>
  <si>
    <t xml:space="preserve">Define uptime SLA with credit schedule for each component</t>
  </si>
  <si>
    <t xml:space="preserve">$31K/month with no credits = no SEI downtime accountability</t>
  </si>
  <si>
    <t xml:space="preserve">Define Airflow-to-Azure integration responsibility in SOW</t>
  </si>
  <si>
    <t xml:space="preserve">If BBH builds it — $50K–$100K not in current budget</t>
  </si>
  <si>
    <t xml:space="preserve">Confirm historical data backfill load is included in $150K setup</t>
  </si>
  <si>
    <t xml:space="preserve">Large one-time compute event not in current budget estimate</t>
  </si>
  <si>
    <t xml:space="preserve">Confirm 6-year NYDFS audit log retention is included in baseline fee</t>
  </si>
  <si>
    <t xml:space="preserve">6-year retention is mandatory — not standard Azure default</t>
  </si>
  <si>
    <t xml:space="preserve">Lock annual price escalation cap at CPI or 3%</t>
  </si>
  <si>
    <t xml:space="preserve">Uncapped escalation compounds materially over 5-year term</t>
  </si>
  <si>
    <t xml:space="preserve">Confirm Azure Private Link used — no public internet data transit</t>
  </si>
  <si>
    <t xml:space="preserve">NYDFS Part 500 requires encryption in transit — Private Link preferred</t>
  </si>
  <si>
    <t xml:space="preserve">Define go-live timeline with financial penalties for SEI delay</t>
  </si>
  <si>
    <t xml:space="preserve">SWP migration is on regulatory timeline — delays have consequences</t>
  </si>
  <si>
    <t xml:space="preserve">Define data return format and 30-day SLA for contract exit</t>
  </si>
  <si>
    <t xml:space="preserve">Snowflake-native format unusable in BBH Oracle stack</t>
  </si>
  <si>
    <t xml:space="preserve">Insert change-of-control clause protecting BBH terms on SEI acquisition</t>
  </si>
  <si>
    <t xml:space="preserve">SEI M&amp;A would otherwise void negotiated protections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</si>
</sst>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4A67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D6E4F0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FF6600"/>
        <bgColor rgb="FFFF9900"/>
      </patternFill>
    </fill>
    <fill>
      <patternFill patternType="solid">
        <fgColor rgb="FF374A67"/>
        <bgColor rgb="FF40404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74A6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5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9.5" hidden="false" customHeight="true" outlineLevel="0" collapsed="false">
      <c r="A4" s="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54.75" hidden="false" customHeight="true" outlineLevel="0" collapsed="false">
      <c r="A5" s="5" t="n">
        <v>1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7" t="s">
        <v>19</v>
      </c>
      <c r="H5" s="6" t="s">
        <v>20</v>
      </c>
      <c r="I5" s="6" t="s">
        <v>21</v>
      </c>
      <c r="J5" s="6" t="s">
        <v>22</v>
      </c>
      <c r="K5" s="6" t="s">
        <v>23</v>
      </c>
    </row>
    <row r="6" customFormat="false" ht="54.75" hidden="false" customHeight="true" outlineLevel="0" collapsed="false">
      <c r="A6" s="8" t="n">
        <v>2</v>
      </c>
      <c r="B6" s="9" t="s">
        <v>14</v>
      </c>
      <c r="C6" s="9" t="s">
        <v>24</v>
      </c>
      <c r="D6" s="9" t="s">
        <v>25</v>
      </c>
      <c r="E6" s="9" t="s">
        <v>26</v>
      </c>
      <c r="F6" s="9" t="s">
        <v>27</v>
      </c>
      <c r="G6" s="10" t="s">
        <v>28</v>
      </c>
      <c r="H6" s="9" t="s">
        <v>29</v>
      </c>
      <c r="I6" s="9" t="s">
        <v>30</v>
      </c>
      <c r="J6" s="9" t="s">
        <v>22</v>
      </c>
      <c r="K6" s="9" t="s">
        <v>23</v>
      </c>
    </row>
    <row r="7" customFormat="false" ht="54.75" hidden="false" customHeight="true" outlineLevel="0" collapsed="false">
      <c r="A7" s="5" t="n">
        <v>3</v>
      </c>
      <c r="B7" s="6" t="s">
        <v>14</v>
      </c>
      <c r="C7" s="6" t="s">
        <v>31</v>
      </c>
      <c r="D7" s="6" t="s">
        <v>32</v>
      </c>
      <c r="E7" s="6" t="s">
        <v>33</v>
      </c>
      <c r="F7" s="6" t="s">
        <v>34</v>
      </c>
      <c r="G7" s="11" t="s">
        <v>20</v>
      </c>
      <c r="H7" s="6" t="s">
        <v>28</v>
      </c>
      <c r="I7" s="6" t="s">
        <v>35</v>
      </c>
      <c r="J7" s="6" t="s">
        <v>22</v>
      </c>
      <c r="K7" s="6" t="s">
        <v>23</v>
      </c>
    </row>
    <row r="8" customFormat="false" ht="54.75" hidden="false" customHeight="true" outlineLevel="0" collapsed="false">
      <c r="A8" s="8" t="n">
        <v>4</v>
      </c>
      <c r="B8" s="9" t="s">
        <v>14</v>
      </c>
      <c r="C8" s="9" t="s">
        <v>36</v>
      </c>
      <c r="D8" s="9" t="s">
        <v>37</v>
      </c>
      <c r="E8" s="9" t="s">
        <v>38</v>
      </c>
      <c r="F8" s="9" t="s">
        <v>39</v>
      </c>
      <c r="G8" s="11" t="s">
        <v>20</v>
      </c>
      <c r="H8" s="9" t="s">
        <v>28</v>
      </c>
      <c r="I8" s="9" t="s">
        <v>40</v>
      </c>
      <c r="J8" s="9" t="s">
        <v>41</v>
      </c>
      <c r="K8" s="9" t="s">
        <v>23</v>
      </c>
    </row>
    <row r="9" customFormat="false" ht="54.75" hidden="false" customHeight="true" outlineLevel="0" collapsed="false">
      <c r="A9" s="5" t="n">
        <v>5</v>
      </c>
      <c r="B9" s="6" t="s">
        <v>14</v>
      </c>
      <c r="C9" s="6" t="s">
        <v>42</v>
      </c>
      <c r="D9" s="6" t="s">
        <v>43</v>
      </c>
      <c r="E9" s="6" t="s">
        <v>44</v>
      </c>
      <c r="F9" s="6" t="s">
        <v>45</v>
      </c>
      <c r="G9" s="11" t="s">
        <v>20</v>
      </c>
      <c r="H9" s="6" t="s">
        <v>28</v>
      </c>
      <c r="I9" s="6" t="s">
        <v>46</v>
      </c>
      <c r="J9" s="6" t="s">
        <v>47</v>
      </c>
      <c r="K9" s="6" t="s">
        <v>23</v>
      </c>
    </row>
    <row r="10" customFormat="false" ht="54.75" hidden="false" customHeight="true" outlineLevel="0" collapsed="false">
      <c r="A10" s="8" t="n">
        <v>6</v>
      </c>
      <c r="B10" s="9" t="s">
        <v>14</v>
      </c>
      <c r="C10" s="9" t="s">
        <v>48</v>
      </c>
      <c r="D10" s="9" t="s">
        <v>49</v>
      </c>
      <c r="E10" s="9" t="s">
        <v>50</v>
      </c>
      <c r="F10" s="9" t="s">
        <v>51</v>
      </c>
      <c r="G10" s="10" t="s">
        <v>28</v>
      </c>
      <c r="H10" s="9" t="s">
        <v>28</v>
      </c>
      <c r="I10" s="9" t="s">
        <v>52</v>
      </c>
      <c r="J10" s="9" t="s">
        <v>53</v>
      </c>
      <c r="K10" s="9" t="s">
        <v>23</v>
      </c>
    </row>
    <row r="11" customFormat="false" ht="19.5" hidden="false" customHeight="true" outlineLevel="0" collapsed="false">
      <c r="A11" s="4" t="s">
        <v>54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54.75" hidden="false" customHeight="true" outlineLevel="0" collapsed="false">
      <c r="A12" s="5" t="n">
        <v>7</v>
      </c>
      <c r="B12" s="6" t="s">
        <v>55</v>
      </c>
      <c r="C12" s="6" t="s">
        <v>56</v>
      </c>
      <c r="D12" s="6" t="s">
        <v>57</v>
      </c>
      <c r="E12" s="6" t="s">
        <v>58</v>
      </c>
      <c r="F12" s="6" t="s">
        <v>59</v>
      </c>
      <c r="G12" s="7" t="s">
        <v>19</v>
      </c>
      <c r="H12" s="6" t="s">
        <v>20</v>
      </c>
      <c r="I12" s="6" t="s">
        <v>60</v>
      </c>
      <c r="J12" s="6" t="s">
        <v>61</v>
      </c>
      <c r="K12" s="6" t="s">
        <v>23</v>
      </c>
    </row>
    <row r="13" customFormat="false" ht="54.75" hidden="false" customHeight="true" outlineLevel="0" collapsed="false">
      <c r="A13" s="8" t="n">
        <v>8</v>
      </c>
      <c r="B13" s="9" t="s">
        <v>55</v>
      </c>
      <c r="C13" s="9" t="s">
        <v>62</v>
      </c>
      <c r="D13" s="9" t="s">
        <v>63</v>
      </c>
      <c r="E13" s="9" t="s">
        <v>64</v>
      </c>
      <c r="F13" s="9" t="s">
        <v>65</v>
      </c>
      <c r="G13" s="7" t="s">
        <v>19</v>
      </c>
      <c r="H13" s="9" t="s">
        <v>20</v>
      </c>
      <c r="I13" s="9" t="s">
        <v>66</v>
      </c>
      <c r="J13" s="9" t="s">
        <v>22</v>
      </c>
      <c r="K13" s="9" t="s">
        <v>23</v>
      </c>
    </row>
    <row r="14" customFormat="false" ht="54.75" hidden="false" customHeight="true" outlineLevel="0" collapsed="false">
      <c r="A14" s="5" t="n">
        <v>9</v>
      </c>
      <c r="B14" s="6" t="s">
        <v>55</v>
      </c>
      <c r="C14" s="6" t="s">
        <v>67</v>
      </c>
      <c r="D14" s="6" t="s">
        <v>68</v>
      </c>
      <c r="E14" s="6" t="s">
        <v>69</v>
      </c>
      <c r="F14" s="6" t="s">
        <v>70</v>
      </c>
      <c r="G14" s="7" t="s">
        <v>19</v>
      </c>
      <c r="H14" s="6" t="s">
        <v>28</v>
      </c>
      <c r="I14" s="6" t="s">
        <v>71</v>
      </c>
      <c r="J14" s="6" t="s">
        <v>47</v>
      </c>
      <c r="K14" s="6" t="s">
        <v>23</v>
      </c>
    </row>
    <row r="15" customFormat="false" ht="54.75" hidden="false" customHeight="true" outlineLevel="0" collapsed="false">
      <c r="A15" s="8" t="n">
        <v>10</v>
      </c>
      <c r="B15" s="9" t="s">
        <v>55</v>
      </c>
      <c r="C15" s="9" t="s">
        <v>72</v>
      </c>
      <c r="D15" s="9" t="s">
        <v>73</v>
      </c>
      <c r="E15" s="9" t="s">
        <v>74</v>
      </c>
      <c r="F15" s="9" t="s">
        <v>75</v>
      </c>
      <c r="G15" s="11" t="s">
        <v>20</v>
      </c>
      <c r="H15" s="9" t="s">
        <v>28</v>
      </c>
      <c r="I15" s="9" t="s">
        <v>76</v>
      </c>
      <c r="J15" s="9" t="s">
        <v>61</v>
      </c>
      <c r="K15" s="9" t="s">
        <v>23</v>
      </c>
    </row>
    <row r="16" customFormat="false" ht="54.75" hidden="false" customHeight="true" outlineLevel="0" collapsed="false">
      <c r="A16" s="5" t="n">
        <v>11</v>
      </c>
      <c r="B16" s="6" t="s">
        <v>55</v>
      </c>
      <c r="C16" s="6" t="s">
        <v>77</v>
      </c>
      <c r="D16" s="6" t="s">
        <v>78</v>
      </c>
      <c r="E16" s="6" t="s">
        <v>79</v>
      </c>
      <c r="F16" s="6" t="s">
        <v>80</v>
      </c>
      <c r="G16" s="11" t="s">
        <v>20</v>
      </c>
      <c r="H16" s="6" t="s">
        <v>28</v>
      </c>
      <c r="I16" s="6" t="s">
        <v>81</v>
      </c>
      <c r="J16" s="6" t="s">
        <v>22</v>
      </c>
      <c r="K16" s="6" t="s">
        <v>23</v>
      </c>
    </row>
    <row r="17" customFormat="false" ht="54.75" hidden="false" customHeight="true" outlineLevel="0" collapsed="false">
      <c r="A17" s="8" t="n">
        <v>12</v>
      </c>
      <c r="B17" s="9" t="s">
        <v>55</v>
      </c>
      <c r="C17" s="9" t="s">
        <v>82</v>
      </c>
      <c r="D17" s="9" t="s">
        <v>83</v>
      </c>
      <c r="E17" s="9" t="s">
        <v>84</v>
      </c>
      <c r="F17" s="9" t="s">
        <v>85</v>
      </c>
      <c r="G17" s="10" t="s">
        <v>28</v>
      </c>
      <c r="H17" s="9" t="s">
        <v>28</v>
      </c>
      <c r="I17" s="9" t="s">
        <v>86</v>
      </c>
      <c r="J17" s="9" t="s">
        <v>22</v>
      </c>
      <c r="K17" s="9" t="s">
        <v>23</v>
      </c>
    </row>
    <row r="18" customFormat="false" ht="54.75" hidden="false" customHeight="true" outlineLevel="0" collapsed="false">
      <c r="A18" s="5" t="n">
        <v>13</v>
      </c>
      <c r="B18" s="6" t="s">
        <v>55</v>
      </c>
      <c r="C18" s="6" t="s">
        <v>87</v>
      </c>
      <c r="D18" s="6" t="s">
        <v>88</v>
      </c>
      <c r="E18" s="6" t="s">
        <v>89</v>
      </c>
      <c r="F18" s="6" t="s">
        <v>90</v>
      </c>
      <c r="G18" s="11" t="s">
        <v>20</v>
      </c>
      <c r="H18" s="6" t="s">
        <v>29</v>
      </c>
      <c r="I18" s="6" t="s">
        <v>91</v>
      </c>
      <c r="J18" s="6" t="s">
        <v>92</v>
      </c>
      <c r="K18" s="6" t="s">
        <v>23</v>
      </c>
    </row>
    <row r="19" customFormat="false" ht="19.5" hidden="false" customHeight="true" outlineLevel="0" collapsed="false">
      <c r="A19" s="4" t="s">
        <v>93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54.75" hidden="false" customHeight="true" outlineLevel="0" collapsed="false">
      <c r="A20" s="8" t="n">
        <v>14</v>
      </c>
      <c r="B20" s="9" t="s">
        <v>94</v>
      </c>
      <c r="C20" s="9" t="s">
        <v>95</v>
      </c>
      <c r="D20" s="9" t="s">
        <v>96</v>
      </c>
      <c r="E20" s="9" t="s">
        <v>97</v>
      </c>
      <c r="F20" s="9" t="s">
        <v>98</v>
      </c>
      <c r="G20" s="7" t="s">
        <v>19</v>
      </c>
      <c r="H20" s="9" t="s">
        <v>28</v>
      </c>
      <c r="I20" s="9" t="s">
        <v>99</v>
      </c>
      <c r="J20" s="9" t="s">
        <v>22</v>
      </c>
      <c r="K20" s="9" t="s">
        <v>23</v>
      </c>
    </row>
    <row r="21" customFormat="false" ht="54.75" hidden="false" customHeight="true" outlineLevel="0" collapsed="false">
      <c r="A21" s="5" t="n">
        <v>15</v>
      </c>
      <c r="B21" s="6" t="s">
        <v>94</v>
      </c>
      <c r="C21" s="6" t="s">
        <v>100</v>
      </c>
      <c r="D21" s="6" t="s">
        <v>101</v>
      </c>
      <c r="E21" s="6" t="s">
        <v>102</v>
      </c>
      <c r="F21" s="6" t="s">
        <v>103</v>
      </c>
      <c r="G21" s="11" t="s">
        <v>20</v>
      </c>
      <c r="H21" s="6" t="s">
        <v>20</v>
      </c>
      <c r="I21" s="6" t="s">
        <v>104</v>
      </c>
      <c r="J21" s="6" t="s">
        <v>61</v>
      </c>
      <c r="K21" s="6" t="s">
        <v>23</v>
      </c>
    </row>
    <row r="22" customFormat="false" ht="54.75" hidden="false" customHeight="true" outlineLevel="0" collapsed="false">
      <c r="A22" s="8" t="n">
        <v>16</v>
      </c>
      <c r="B22" s="9" t="s">
        <v>94</v>
      </c>
      <c r="C22" s="9" t="s">
        <v>105</v>
      </c>
      <c r="D22" s="9" t="s">
        <v>106</v>
      </c>
      <c r="E22" s="9" t="s">
        <v>107</v>
      </c>
      <c r="F22" s="9" t="s">
        <v>108</v>
      </c>
      <c r="G22" s="11" t="s">
        <v>20</v>
      </c>
      <c r="H22" s="9" t="s">
        <v>28</v>
      </c>
      <c r="I22" s="9" t="s">
        <v>109</v>
      </c>
      <c r="J22" s="9" t="s">
        <v>61</v>
      </c>
      <c r="K22" s="9" t="s">
        <v>23</v>
      </c>
    </row>
    <row r="23" customFormat="false" ht="54.75" hidden="false" customHeight="true" outlineLevel="0" collapsed="false">
      <c r="A23" s="5" t="n">
        <v>17</v>
      </c>
      <c r="B23" s="6" t="s">
        <v>94</v>
      </c>
      <c r="C23" s="6" t="s">
        <v>110</v>
      </c>
      <c r="D23" s="6" t="s">
        <v>111</v>
      </c>
      <c r="E23" s="6" t="s">
        <v>112</v>
      </c>
      <c r="F23" s="6" t="s">
        <v>113</v>
      </c>
      <c r="G23" s="10" t="s">
        <v>28</v>
      </c>
      <c r="H23" s="6" t="s">
        <v>20</v>
      </c>
      <c r="I23" s="6" t="s">
        <v>114</v>
      </c>
      <c r="J23" s="6" t="s">
        <v>47</v>
      </c>
      <c r="K23" s="6" t="s">
        <v>23</v>
      </c>
    </row>
    <row r="24" customFormat="false" ht="54.75" hidden="false" customHeight="true" outlineLevel="0" collapsed="false">
      <c r="A24" s="8" t="n">
        <v>18</v>
      </c>
      <c r="B24" s="9" t="s">
        <v>94</v>
      </c>
      <c r="C24" s="9" t="s">
        <v>115</v>
      </c>
      <c r="D24" s="9" t="s">
        <v>116</v>
      </c>
      <c r="E24" s="9" t="s">
        <v>117</v>
      </c>
      <c r="F24" s="9" t="s">
        <v>118</v>
      </c>
      <c r="G24" s="7" t="s">
        <v>19</v>
      </c>
      <c r="H24" s="9" t="s">
        <v>28</v>
      </c>
      <c r="I24" s="9" t="s">
        <v>119</v>
      </c>
      <c r="J24" s="9" t="s">
        <v>47</v>
      </c>
      <c r="K24" s="9" t="s">
        <v>23</v>
      </c>
    </row>
    <row r="25" customFormat="false" ht="19.5" hidden="false" customHeight="true" outlineLevel="0" collapsed="false">
      <c r="A25" s="4" t="s">
        <v>120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54.75" hidden="false" customHeight="true" outlineLevel="0" collapsed="false">
      <c r="A26" s="5" t="n">
        <v>19</v>
      </c>
      <c r="B26" s="6" t="s">
        <v>121</v>
      </c>
      <c r="C26" s="6" t="s">
        <v>122</v>
      </c>
      <c r="D26" s="6" t="s">
        <v>123</v>
      </c>
      <c r="E26" s="6" t="s">
        <v>124</v>
      </c>
      <c r="F26" s="6" t="s">
        <v>125</v>
      </c>
      <c r="G26" s="11" t="s">
        <v>20</v>
      </c>
      <c r="H26" s="6" t="s">
        <v>28</v>
      </c>
      <c r="I26" s="6" t="s">
        <v>126</v>
      </c>
      <c r="J26" s="6" t="s">
        <v>61</v>
      </c>
      <c r="K26" s="6" t="s">
        <v>23</v>
      </c>
    </row>
    <row r="27" customFormat="false" ht="54.75" hidden="false" customHeight="true" outlineLevel="0" collapsed="false">
      <c r="A27" s="8" t="n">
        <v>20</v>
      </c>
      <c r="B27" s="9" t="s">
        <v>121</v>
      </c>
      <c r="C27" s="9" t="s">
        <v>127</v>
      </c>
      <c r="D27" s="9" t="s">
        <v>128</v>
      </c>
      <c r="E27" s="9" t="s">
        <v>129</v>
      </c>
      <c r="F27" s="9" t="s">
        <v>130</v>
      </c>
      <c r="G27" s="11" t="s">
        <v>20</v>
      </c>
      <c r="H27" s="9" t="s">
        <v>28</v>
      </c>
      <c r="I27" s="9" t="s">
        <v>131</v>
      </c>
      <c r="J27" s="9" t="s">
        <v>61</v>
      </c>
      <c r="K27" s="9" t="s">
        <v>23</v>
      </c>
    </row>
    <row r="28" customFormat="false" ht="54.75" hidden="false" customHeight="true" outlineLevel="0" collapsed="false">
      <c r="A28" s="5" t="n">
        <v>21</v>
      </c>
      <c r="B28" s="6" t="s">
        <v>121</v>
      </c>
      <c r="C28" s="6" t="s">
        <v>132</v>
      </c>
      <c r="D28" s="6" t="s">
        <v>133</v>
      </c>
      <c r="E28" s="6" t="s">
        <v>134</v>
      </c>
      <c r="F28" s="6" t="s">
        <v>135</v>
      </c>
      <c r="G28" s="11" t="s">
        <v>20</v>
      </c>
      <c r="H28" s="6" t="s">
        <v>28</v>
      </c>
      <c r="I28" s="6" t="s">
        <v>136</v>
      </c>
      <c r="J28" s="6" t="s">
        <v>137</v>
      </c>
      <c r="K28" s="6" t="s">
        <v>23</v>
      </c>
    </row>
    <row r="29" customFormat="false" ht="54.75" hidden="false" customHeight="true" outlineLevel="0" collapsed="false">
      <c r="A29" s="8" t="n">
        <v>22</v>
      </c>
      <c r="B29" s="9" t="s">
        <v>121</v>
      </c>
      <c r="C29" s="9" t="s">
        <v>138</v>
      </c>
      <c r="D29" s="9" t="s">
        <v>139</v>
      </c>
      <c r="E29" s="9" t="s">
        <v>140</v>
      </c>
      <c r="F29" s="9" t="s">
        <v>141</v>
      </c>
      <c r="G29" s="10" t="s">
        <v>28</v>
      </c>
      <c r="H29" s="9" t="s">
        <v>20</v>
      </c>
      <c r="I29" s="9" t="s">
        <v>142</v>
      </c>
      <c r="J29" s="9" t="s">
        <v>22</v>
      </c>
      <c r="K29" s="9" t="s">
        <v>23</v>
      </c>
    </row>
    <row r="30" customFormat="false" ht="19.5" hidden="false" customHeight="true" outlineLevel="0" collapsed="false">
      <c r="A30" s="4" t="s">
        <v>143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customFormat="false" ht="54.75" hidden="false" customHeight="true" outlineLevel="0" collapsed="false">
      <c r="A31" s="5" t="n">
        <v>23</v>
      </c>
      <c r="B31" s="6" t="s">
        <v>144</v>
      </c>
      <c r="C31" s="6" t="s">
        <v>145</v>
      </c>
      <c r="D31" s="6" t="s">
        <v>146</v>
      </c>
      <c r="E31" s="6" t="s">
        <v>147</v>
      </c>
      <c r="F31" s="6" t="s">
        <v>148</v>
      </c>
      <c r="G31" s="7" t="s">
        <v>19</v>
      </c>
      <c r="H31" s="6" t="s">
        <v>28</v>
      </c>
      <c r="I31" s="6" t="s">
        <v>149</v>
      </c>
      <c r="J31" s="6" t="s">
        <v>22</v>
      </c>
      <c r="K31" s="6" t="s">
        <v>23</v>
      </c>
    </row>
    <row r="32" customFormat="false" ht="54.75" hidden="false" customHeight="true" outlineLevel="0" collapsed="false">
      <c r="A32" s="8" t="n">
        <v>24</v>
      </c>
      <c r="B32" s="9" t="s">
        <v>144</v>
      </c>
      <c r="C32" s="9" t="s">
        <v>150</v>
      </c>
      <c r="D32" s="9" t="s">
        <v>151</v>
      </c>
      <c r="E32" s="9" t="s">
        <v>152</v>
      </c>
      <c r="F32" s="9" t="s">
        <v>153</v>
      </c>
      <c r="G32" s="7" t="s">
        <v>19</v>
      </c>
      <c r="H32" s="9" t="s">
        <v>28</v>
      </c>
      <c r="I32" s="9" t="s">
        <v>154</v>
      </c>
      <c r="J32" s="9" t="s">
        <v>61</v>
      </c>
      <c r="K32" s="9" t="s">
        <v>23</v>
      </c>
    </row>
    <row r="33" customFormat="false" ht="54.75" hidden="false" customHeight="true" outlineLevel="0" collapsed="false">
      <c r="A33" s="5" t="n">
        <v>25</v>
      </c>
      <c r="B33" s="6" t="s">
        <v>144</v>
      </c>
      <c r="C33" s="6" t="s">
        <v>155</v>
      </c>
      <c r="D33" s="6" t="s">
        <v>156</v>
      </c>
      <c r="E33" s="6" t="s">
        <v>157</v>
      </c>
      <c r="F33" s="6" t="s">
        <v>158</v>
      </c>
      <c r="G33" s="11" t="s">
        <v>20</v>
      </c>
      <c r="H33" s="6" t="s">
        <v>20</v>
      </c>
      <c r="I33" s="6" t="s">
        <v>159</v>
      </c>
      <c r="J33" s="6" t="s">
        <v>22</v>
      </c>
      <c r="K33" s="6" t="s">
        <v>23</v>
      </c>
    </row>
    <row r="34" customFormat="false" ht="54.75" hidden="false" customHeight="true" outlineLevel="0" collapsed="false">
      <c r="A34" s="8" t="n">
        <v>26</v>
      </c>
      <c r="B34" s="9" t="s">
        <v>144</v>
      </c>
      <c r="C34" s="9" t="s">
        <v>160</v>
      </c>
      <c r="D34" s="9" t="s">
        <v>161</v>
      </c>
      <c r="E34" s="9" t="s">
        <v>162</v>
      </c>
      <c r="F34" s="9" t="s">
        <v>163</v>
      </c>
      <c r="G34" s="11" t="s">
        <v>20</v>
      </c>
      <c r="H34" s="9" t="s">
        <v>28</v>
      </c>
      <c r="I34" s="9" t="s">
        <v>164</v>
      </c>
      <c r="J34" s="9" t="s">
        <v>61</v>
      </c>
      <c r="K34" s="9" t="s">
        <v>23</v>
      </c>
    </row>
    <row r="35" customFormat="false" ht="19.5" hidden="false" customHeight="true" outlineLevel="0" collapsed="false">
      <c r="A35" s="4" t="s">
        <v>165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54.75" hidden="false" customHeight="true" outlineLevel="0" collapsed="false">
      <c r="A36" s="5" t="n">
        <v>27</v>
      </c>
      <c r="B36" s="6" t="s">
        <v>166</v>
      </c>
      <c r="C36" s="6" t="s">
        <v>167</v>
      </c>
      <c r="D36" s="6" t="s">
        <v>168</v>
      </c>
      <c r="E36" s="6" t="s">
        <v>169</v>
      </c>
      <c r="F36" s="6" t="s">
        <v>118</v>
      </c>
      <c r="G36" s="7" t="s">
        <v>19</v>
      </c>
      <c r="H36" s="6" t="s">
        <v>20</v>
      </c>
      <c r="I36" s="6" t="s">
        <v>170</v>
      </c>
      <c r="J36" s="6" t="s">
        <v>137</v>
      </c>
      <c r="K36" s="6" t="s">
        <v>23</v>
      </c>
    </row>
    <row r="37" customFormat="false" ht="54.75" hidden="false" customHeight="true" outlineLevel="0" collapsed="false">
      <c r="A37" s="8" t="n">
        <v>28</v>
      </c>
      <c r="B37" s="9" t="s">
        <v>166</v>
      </c>
      <c r="C37" s="9" t="s">
        <v>171</v>
      </c>
      <c r="D37" s="9" t="s">
        <v>172</v>
      </c>
      <c r="E37" s="9" t="s">
        <v>173</v>
      </c>
      <c r="F37" s="9" t="s">
        <v>174</v>
      </c>
      <c r="G37" s="11" t="s">
        <v>20</v>
      </c>
      <c r="H37" s="9" t="s">
        <v>28</v>
      </c>
      <c r="I37" s="9" t="s">
        <v>175</v>
      </c>
      <c r="J37" s="9" t="s">
        <v>176</v>
      </c>
      <c r="K37" s="9" t="s">
        <v>23</v>
      </c>
    </row>
    <row r="38" customFormat="false" ht="54.75" hidden="false" customHeight="true" outlineLevel="0" collapsed="false">
      <c r="A38" s="5" t="n">
        <v>29</v>
      </c>
      <c r="B38" s="6" t="s">
        <v>166</v>
      </c>
      <c r="C38" s="6" t="s">
        <v>177</v>
      </c>
      <c r="D38" s="6" t="s">
        <v>178</v>
      </c>
      <c r="E38" s="6" t="s">
        <v>179</v>
      </c>
      <c r="F38" s="6" t="s">
        <v>180</v>
      </c>
      <c r="G38" s="7" t="s">
        <v>19</v>
      </c>
      <c r="H38" s="6" t="s">
        <v>28</v>
      </c>
      <c r="I38" s="6" t="s">
        <v>181</v>
      </c>
      <c r="J38" s="6" t="s">
        <v>182</v>
      </c>
      <c r="K38" s="6" t="s">
        <v>23</v>
      </c>
    </row>
    <row r="39" customFormat="false" ht="54.75" hidden="false" customHeight="true" outlineLevel="0" collapsed="false">
      <c r="A39" s="8" t="n">
        <v>30</v>
      </c>
      <c r="B39" s="9" t="s">
        <v>166</v>
      </c>
      <c r="C39" s="9" t="s">
        <v>183</v>
      </c>
      <c r="D39" s="9" t="s">
        <v>184</v>
      </c>
      <c r="E39" s="9" t="s">
        <v>185</v>
      </c>
      <c r="F39" s="9" t="s">
        <v>186</v>
      </c>
      <c r="G39" s="11" t="s">
        <v>20</v>
      </c>
      <c r="H39" s="9" t="s">
        <v>28</v>
      </c>
      <c r="I39" s="9" t="s">
        <v>187</v>
      </c>
      <c r="J39" s="9" t="s">
        <v>176</v>
      </c>
      <c r="K39" s="9" t="s">
        <v>23</v>
      </c>
    </row>
    <row r="40" customFormat="false" ht="54.75" hidden="false" customHeight="true" outlineLevel="0" collapsed="false">
      <c r="A40" s="5" t="n">
        <v>31</v>
      </c>
      <c r="B40" s="6" t="s">
        <v>166</v>
      </c>
      <c r="C40" s="6" t="s">
        <v>188</v>
      </c>
      <c r="D40" s="6" t="s">
        <v>189</v>
      </c>
      <c r="E40" s="6" t="s">
        <v>190</v>
      </c>
      <c r="F40" s="6" t="s">
        <v>163</v>
      </c>
      <c r="G40" s="7" t="s">
        <v>19</v>
      </c>
      <c r="H40" s="6" t="s">
        <v>20</v>
      </c>
      <c r="I40" s="6" t="s">
        <v>191</v>
      </c>
      <c r="J40" s="6" t="s">
        <v>137</v>
      </c>
      <c r="K40" s="6" t="s">
        <v>23</v>
      </c>
    </row>
    <row r="41" customFormat="false" ht="19.5" hidden="false" customHeight="true" outlineLevel="0" collapsed="false">
      <c r="A41" s="4" t="s">
        <v>192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customFormat="false" ht="54.75" hidden="false" customHeight="true" outlineLevel="0" collapsed="false">
      <c r="A42" s="8" t="n">
        <v>32</v>
      </c>
      <c r="B42" s="9" t="s">
        <v>193</v>
      </c>
      <c r="C42" s="9" t="s">
        <v>194</v>
      </c>
      <c r="D42" s="9" t="s">
        <v>195</v>
      </c>
      <c r="E42" s="9" t="s">
        <v>196</v>
      </c>
      <c r="F42" s="9" t="s">
        <v>197</v>
      </c>
      <c r="G42" s="7" t="s">
        <v>19</v>
      </c>
      <c r="H42" s="9" t="s">
        <v>28</v>
      </c>
      <c r="I42" s="9" t="s">
        <v>198</v>
      </c>
      <c r="J42" s="9" t="s">
        <v>47</v>
      </c>
      <c r="K42" s="9" t="s">
        <v>23</v>
      </c>
    </row>
    <row r="43" customFormat="false" ht="54.75" hidden="false" customHeight="true" outlineLevel="0" collapsed="false">
      <c r="A43" s="5" t="n">
        <v>33</v>
      </c>
      <c r="B43" s="6" t="s">
        <v>193</v>
      </c>
      <c r="C43" s="6" t="s">
        <v>199</v>
      </c>
      <c r="D43" s="6" t="s">
        <v>200</v>
      </c>
      <c r="E43" s="6" t="s">
        <v>201</v>
      </c>
      <c r="F43" s="6" t="s">
        <v>202</v>
      </c>
      <c r="G43" s="11" t="s">
        <v>20</v>
      </c>
      <c r="H43" s="6" t="s">
        <v>28</v>
      </c>
      <c r="I43" s="6" t="s">
        <v>203</v>
      </c>
      <c r="J43" s="6" t="s">
        <v>47</v>
      </c>
      <c r="K43" s="6" t="s">
        <v>23</v>
      </c>
    </row>
    <row r="44" customFormat="false" ht="54.75" hidden="false" customHeight="true" outlineLevel="0" collapsed="false">
      <c r="A44" s="8" t="n">
        <v>34</v>
      </c>
      <c r="B44" s="9" t="s">
        <v>193</v>
      </c>
      <c r="C44" s="9" t="s">
        <v>204</v>
      </c>
      <c r="D44" s="9" t="s">
        <v>205</v>
      </c>
      <c r="E44" s="9" t="s">
        <v>206</v>
      </c>
      <c r="F44" s="9" t="s">
        <v>207</v>
      </c>
      <c r="G44" s="11" t="s">
        <v>20</v>
      </c>
      <c r="H44" s="9" t="s">
        <v>28</v>
      </c>
      <c r="I44" s="9" t="s">
        <v>208</v>
      </c>
      <c r="J44" s="9" t="s">
        <v>22</v>
      </c>
      <c r="K44" s="9" t="s">
        <v>23</v>
      </c>
    </row>
    <row r="45" customFormat="false" ht="54.75" hidden="false" customHeight="true" outlineLevel="0" collapsed="false">
      <c r="A45" s="5" t="n">
        <v>35</v>
      </c>
      <c r="B45" s="6" t="s">
        <v>193</v>
      </c>
      <c r="C45" s="6" t="s">
        <v>209</v>
      </c>
      <c r="D45" s="6" t="s">
        <v>210</v>
      </c>
      <c r="E45" s="6" t="s">
        <v>211</v>
      </c>
      <c r="F45" s="6" t="s">
        <v>212</v>
      </c>
      <c r="G45" s="10" t="s">
        <v>28</v>
      </c>
      <c r="H45" s="6" t="s">
        <v>20</v>
      </c>
      <c r="I45" s="6" t="s">
        <v>213</v>
      </c>
      <c r="J45" s="6" t="s">
        <v>47</v>
      </c>
      <c r="K45" s="6" t="s">
        <v>23</v>
      </c>
    </row>
    <row r="46" customFormat="false" ht="19.5" hidden="false" customHeight="true" outlineLevel="0" collapsed="false">
      <c r="A46" s="4" t="s">
        <v>214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54.75" hidden="false" customHeight="true" outlineLevel="0" collapsed="false">
      <c r="A47" s="8" t="n">
        <v>36</v>
      </c>
      <c r="B47" s="9" t="s">
        <v>215</v>
      </c>
      <c r="C47" s="9" t="s">
        <v>216</v>
      </c>
      <c r="D47" s="9" t="s">
        <v>217</v>
      </c>
      <c r="E47" s="9" t="s">
        <v>218</v>
      </c>
      <c r="F47" s="9" t="s">
        <v>219</v>
      </c>
      <c r="G47" s="7" t="s">
        <v>19</v>
      </c>
      <c r="H47" s="9" t="s">
        <v>20</v>
      </c>
      <c r="I47" s="9" t="s">
        <v>220</v>
      </c>
      <c r="J47" s="9" t="s">
        <v>221</v>
      </c>
      <c r="K47" s="9" t="s">
        <v>23</v>
      </c>
    </row>
    <row r="48" customFormat="false" ht="54.75" hidden="false" customHeight="true" outlineLevel="0" collapsed="false">
      <c r="A48" s="5" t="n">
        <v>37</v>
      </c>
      <c r="B48" s="6" t="s">
        <v>215</v>
      </c>
      <c r="C48" s="6" t="s">
        <v>222</v>
      </c>
      <c r="D48" s="6" t="s">
        <v>223</v>
      </c>
      <c r="E48" s="6" t="s">
        <v>224</v>
      </c>
      <c r="F48" s="6" t="s">
        <v>225</v>
      </c>
      <c r="G48" s="7" t="s">
        <v>19</v>
      </c>
      <c r="H48" s="6" t="s">
        <v>20</v>
      </c>
      <c r="I48" s="6" t="s">
        <v>226</v>
      </c>
      <c r="J48" s="6" t="s">
        <v>227</v>
      </c>
      <c r="K48" s="6" t="s">
        <v>23</v>
      </c>
    </row>
    <row r="49" customFormat="false" ht="54.75" hidden="false" customHeight="true" outlineLevel="0" collapsed="false">
      <c r="A49" s="8" t="n">
        <v>38</v>
      </c>
      <c r="B49" s="9" t="s">
        <v>215</v>
      </c>
      <c r="C49" s="9" t="s">
        <v>228</v>
      </c>
      <c r="D49" s="9" t="s">
        <v>229</v>
      </c>
      <c r="E49" s="9" t="s">
        <v>230</v>
      </c>
      <c r="F49" s="9" t="s">
        <v>231</v>
      </c>
      <c r="G49" s="11" t="s">
        <v>20</v>
      </c>
      <c r="H49" s="9" t="s">
        <v>28</v>
      </c>
      <c r="I49" s="9" t="s">
        <v>232</v>
      </c>
      <c r="J49" s="9" t="s">
        <v>221</v>
      </c>
      <c r="K49" s="9" t="s">
        <v>23</v>
      </c>
    </row>
    <row r="50" customFormat="false" ht="54.75" hidden="false" customHeight="true" outlineLevel="0" collapsed="false">
      <c r="A50" s="5" t="n">
        <v>39</v>
      </c>
      <c r="B50" s="6" t="s">
        <v>215</v>
      </c>
      <c r="C50" s="6" t="s">
        <v>233</v>
      </c>
      <c r="D50" s="6" t="s">
        <v>234</v>
      </c>
      <c r="E50" s="6" t="s">
        <v>235</v>
      </c>
      <c r="F50" s="6" t="s">
        <v>236</v>
      </c>
      <c r="G50" s="11" t="s">
        <v>20</v>
      </c>
      <c r="H50" s="6" t="s">
        <v>20</v>
      </c>
      <c r="I50" s="6" t="s">
        <v>237</v>
      </c>
      <c r="J50" s="6" t="s">
        <v>92</v>
      </c>
      <c r="K50" s="6" t="s">
        <v>23</v>
      </c>
    </row>
    <row r="51" customFormat="false" ht="54.75" hidden="false" customHeight="true" outlineLevel="0" collapsed="false">
      <c r="A51" s="8" t="n">
        <v>40</v>
      </c>
      <c r="B51" s="9" t="s">
        <v>215</v>
      </c>
      <c r="C51" s="9" t="s">
        <v>238</v>
      </c>
      <c r="D51" s="9" t="s">
        <v>239</v>
      </c>
      <c r="E51" s="9" t="s">
        <v>240</v>
      </c>
      <c r="F51" s="9" t="s">
        <v>241</v>
      </c>
      <c r="G51" s="7" t="s">
        <v>19</v>
      </c>
      <c r="H51" s="9" t="s">
        <v>20</v>
      </c>
      <c r="I51" s="9" t="s">
        <v>242</v>
      </c>
      <c r="J51" s="9" t="s">
        <v>61</v>
      </c>
      <c r="K51" s="9" t="s">
        <v>23</v>
      </c>
    </row>
    <row r="52" customFormat="false" ht="19.5" hidden="false" customHeight="true" outlineLevel="0" collapsed="false">
      <c r="A52" s="4" t="s">
        <v>243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customFormat="false" ht="54.75" hidden="false" customHeight="true" outlineLevel="0" collapsed="false">
      <c r="A53" s="5" t="n">
        <v>41</v>
      </c>
      <c r="B53" s="6" t="s">
        <v>244</v>
      </c>
      <c r="C53" s="6" t="s">
        <v>245</v>
      </c>
      <c r="D53" s="6" t="s">
        <v>246</v>
      </c>
      <c r="E53" s="6" t="s">
        <v>247</v>
      </c>
      <c r="F53" s="6" t="s">
        <v>248</v>
      </c>
      <c r="G53" s="7" t="s">
        <v>19</v>
      </c>
      <c r="H53" s="6" t="s">
        <v>28</v>
      </c>
      <c r="I53" s="6" t="s">
        <v>249</v>
      </c>
      <c r="J53" s="6" t="s">
        <v>47</v>
      </c>
      <c r="K53" s="6" t="s">
        <v>23</v>
      </c>
    </row>
    <row r="54" customFormat="false" ht="54.75" hidden="false" customHeight="true" outlineLevel="0" collapsed="false">
      <c r="A54" s="8" t="n">
        <v>42</v>
      </c>
      <c r="B54" s="9" t="s">
        <v>244</v>
      </c>
      <c r="C54" s="9" t="s">
        <v>250</v>
      </c>
      <c r="D54" s="9" t="s">
        <v>251</v>
      </c>
      <c r="E54" s="9" t="s">
        <v>252</v>
      </c>
      <c r="F54" s="9" t="s">
        <v>253</v>
      </c>
      <c r="G54" s="7" t="s">
        <v>19</v>
      </c>
      <c r="H54" s="9" t="s">
        <v>28</v>
      </c>
      <c r="I54" s="9" t="s">
        <v>254</v>
      </c>
      <c r="J54" s="9" t="s">
        <v>47</v>
      </c>
      <c r="K54" s="9" t="s">
        <v>23</v>
      </c>
    </row>
    <row r="55" customFormat="false" ht="54.75" hidden="false" customHeight="true" outlineLevel="0" collapsed="false">
      <c r="A55" s="5" t="n">
        <v>43</v>
      </c>
      <c r="B55" s="6" t="s">
        <v>244</v>
      </c>
      <c r="C55" s="6" t="s">
        <v>255</v>
      </c>
      <c r="D55" s="6" t="s">
        <v>256</v>
      </c>
      <c r="E55" s="6" t="s">
        <v>257</v>
      </c>
      <c r="F55" s="6" t="s">
        <v>258</v>
      </c>
      <c r="G55" s="11" t="s">
        <v>20</v>
      </c>
      <c r="H55" s="6" t="s">
        <v>259</v>
      </c>
      <c r="I55" s="6" t="s">
        <v>260</v>
      </c>
      <c r="J55" s="6" t="s">
        <v>47</v>
      </c>
      <c r="K55" s="6" t="s">
        <v>23</v>
      </c>
    </row>
    <row r="56" customFormat="false" ht="54.75" hidden="false" customHeight="true" outlineLevel="0" collapsed="false">
      <c r="A56" s="8" t="n">
        <v>44</v>
      </c>
      <c r="B56" s="9" t="s">
        <v>244</v>
      </c>
      <c r="C56" s="9" t="s">
        <v>261</v>
      </c>
      <c r="D56" s="9" t="s">
        <v>262</v>
      </c>
      <c r="E56" s="9" t="s">
        <v>263</v>
      </c>
      <c r="F56" s="9" t="s">
        <v>264</v>
      </c>
      <c r="G56" s="10" t="s">
        <v>28</v>
      </c>
      <c r="H56" s="9" t="s">
        <v>28</v>
      </c>
      <c r="I56" s="9" t="s">
        <v>265</v>
      </c>
      <c r="J56" s="9" t="s">
        <v>47</v>
      </c>
      <c r="K56" s="9" t="s">
        <v>23</v>
      </c>
    </row>
  </sheetData>
  <autoFilter ref="A3:K56"/>
  <mergeCells count="11">
    <mergeCell ref="A1:K1"/>
    <mergeCell ref="A2:K2"/>
    <mergeCell ref="A4:K4"/>
    <mergeCell ref="A11:K11"/>
    <mergeCell ref="A19:K19"/>
    <mergeCell ref="A25:K25"/>
    <mergeCell ref="A30:K30"/>
    <mergeCell ref="A35:K35"/>
    <mergeCell ref="A41:K41"/>
    <mergeCell ref="A46:K46"/>
    <mergeCell ref="A52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4" t="s">
        <v>268</v>
      </c>
      <c r="B4" s="4"/>
      <c r="C4" s="4"/>
      <c r="D4" s="4"/>
      <c r="E4" s="4"/>
      <c r="F4" s="4"/>
      <c r="G4" s="4"/>
    </row>
    <row r="5" customFormat="false" ht="21.75" hidden="false" customHeight="true" outlineLevel="0" collapsed="false">
      <c r="A5" s="12" t="s">
        <v>269</v>
      </c>
      <c r="B5" s="12" t="s">
        <v>270</v>
      </c>
      <c r="C5" s="12" t="s">
        <v>271</v>
      </c>
      <c r="D5" s="12" t="s">
        <v>272</v>
      </c>
      <c r="E5" s="12" t="s">
        <v>273</v>
      </c>
    </row>
    <row r="6" customFormat="false" ht="18" hidden="false" customHeight="true" outlineLevel="0" collapsed="false">
      <c r="A6" s="13" t="s">
        <v>274</v>
      </c>
      <c r="B6" s="14" t="n">
        <v>144000</v>
      </c>
      <c r="C6" s="14" t="n">
        <v>9000</v>
      </c>
      <c r="D6" s="14" t="n">
        <f aca="false">B7+C7</f>
        <v>137700</v>
      </c>
      <c r="E6" s="13" t="s">
        <v>275</v>
      </c>
    </row>
    <row r="7" customFormat="false" ht="18" hidden="false" customHeight="true" outlineLevel="0" collapsed="false">
      <c r="A7" s="15" t="s">
        <v>276</v>
      </c>
      <c r="B7" s="16" t="n">
        <v>81000</v>
      </c>
      <c r="C7" s="16" t="n">
        <v>56700</v>
      </c>
      <c r="D7" s="16" t="n">
        <f aca="false">B8+C8</f>
        <v>266436</v>
      </c>
      <c r="E7" s="15" t="s">
        <v>277</v>
      </c>
    </row>
    <row r="8" customFormat="false" ht="18" hidden="false" customHeight="true" outlineLevel="0" collapsed="false">
      <c r="A8" s="13" t="s">
        <v>278</v>
      </c>
      <c r="B8" s="14" t="n">
        <v>148020</v>
      </c>
      <c r="C8" s="14" t="n">
        <v>118416</v>
      </c>
      <c r="D8" s="14" t="n">
        <f aca="false">B9+C9</f>
        <v>40320</v>
      </c>
      <c r="E8" s="13" t="s">
        <v>277</v>
      </c>
    </row>
    <row r="9" customFormat="false" ht="18" hidden="false" customHeight="true" outlineLevel="0" collapsed="false">
      <c r="A9" s="15" t="s">
        <v>279</v>
      </c>
      <c r="B9" s="16" t="n">
        <v>20160</v>
      </c>
      <c r="C9" s="16" t="n">
        <v>20160</v>
      </c>
      <c r="D9" s="16" t="n">
        <f aca="false">B10+C10</f>
        <v>389000</v>
      </c>
      <c r="E9" s="15" t="s">
        <v>280</v>
      </c>
    </row>
    <row r="10" customFormat="false" ht="18" hidden="false" customHeight="true" outlineLevel="0" collapsed="false">
      <c r="A10" s="13" t="s">
        <v>281</v>
      </c>
      <c r="B10" s="14" t="n">
        <v>220000</v>
      </c>
      <c r="C10" s="14" t="n">
        <v>169000</v>
      </c>
      <c r="D10" s="14" t="n">
        <f aca="false">B11+C11</f>
        <v>986456</v>
      </c>
      <c r="E10" s="13" t="s">
        <v>282</v>
      </c>
    </row>
    <row r="11" customFormat="false" ht="19.5" hidden="false" customHeight="true" outlineLevel="0" collapsed="false">
      <c r="A11" s="17" t="s">
        <v>283</v>
      </c>
      <c r="B11" s="18" t="n">
        <f aca="false">SUM(B6:B10)</f>
        <v>613180</v>
      </c>
      <c r="C11" s="18" t="n">
        <f aca="false">SUM(C6:C10)</f>
        <v>373276</v>
      </c>
      <c r="D11" s="18" t="n">
        <f aca="false">SUM(D6:D10)</f>
        <v>1819912</v>
      </c>
      <c r="E11" s="19"/>
    </row>
    <row r="13" customFormat="false" ht="19.5" hidden="false" customHeight="true" outlineLevel="0" collapsed="false">
      <c r="A13" s="4" t="s">
        <v>284</v>
      </c>
      <c r="B13" s="4"/>
      <c r="C13" s="4"/>
      <c r="D13" s="4"/>
      <c r="E13" s="4"/>
      <c r="F13" s="4"/>
      <c r="G13" s="4"/>
    </row>
    <row r="14" customFormat="false" ht="21.75" hidden="false" customHeight="true" outlineLevel="0" collapsed="false">
      <c r="A14" s="12" t="s">
        <v>285</v>
      </c>
      <c r="B14" s="12" t="s">
        <v>286</v>
      </c>
      <c r="C14" s="12" t="s">
        <v>287</v>
      </c>
      <c r="D14" s="12" t="s">
        <v>8</v>
      </c>
      <c r="E14" s="12" t="s">
        <v>288</v>
      </c>
      <c r="F14" s="12" t="s">
        <v>289</v>
      </c>
    </row>
    <row r="15" customFormat="false" ht="21.75" hidden="false" customHeight="true" outlineLevel="0" collapsed="false">
      <c r="A15" s="20" t="s">
        <v>290</v>
      </c>
      <c r="B15" s="21" t="n">
        <v>20000</v>
      </c>
      <c r="C15" s="21" t="n">
        <v>120000</v>
      </c>
      <c r="D15" s="7" t="s">
        <v>19</v>
      </c>
      <c r="E15" s="20" t="s">
        <v>20</v>
      </c>
      <c r="F15" s="20" t="s">
        <v>291</v>
      </c>
    </row>
    <row r="16" customFormat="false" ht="21.75" hidden="false" customHeight="true" outlineLevel="0" collapsed="false">
      <c r="A16" s="22" t="s">
        <v>292</v>
      </c>
      <c r="B16" s="23" t="n">
        <v>184116</v>
      </c>
      <c r="C16" s="23" t="n">
        <v>184116</v>
      </c>
      <c r="D16" s="7" t="s">
        <v>19</v>
      </c>
      <c r="E16" s="22" t="s">
        <v>29</v>
      </c>
      <c r="F16" s="22" t="s">
        <v>293</v>
      </c>
    </row>
    <row r="17" customFormat="false" ht="21.75" hidden="false" customHeight="true" outlineLevel="0" collapsed="false">
      <c r="A17" s="20" t="s">
        <v>294</v>
      </c>
      <c r="B17" s="21" t="n">
        <v>50000</v>
      </c>
      <c r="C17" s="21" t="n">
        <v>200000</v>
      </c>
      <c r="D17" s="7" t="s">
        <v>19</v>
      </c>
      <c r="E17" s="20" t="s">
        <v>28</v>
      </c>
      <c r="F17" s="20" t="s">
        <v>295</v>
      </c>
    </row>
    <row r="18" customFormat="false" ht="21.75" hidden="false" customHeight="true" outlineLevel="0" collapsed="false">
      <c r="A18" s="22" t="s">
        <v>296</v>
      </c>
      <c r="B18" s="23" t="n">
        <v>20000</v>
      </c>
      <c r="C18" s="23" t="n">
        <v>50000</v>
      </c>
      <c r="D18" s="7" t="s">
        <v>19</v>
      </c>
      <c r="E18" s="22" t="s">
        <v>20</v>
      </c>
      <c r="F18" s="22" t="s">
        <v>297</v>
      </c>
    </row>
    <row r="19" customFormat="false" ht="21.75" hidden="false" customHeight="true" outlineLevel="0" collapsed="false">
      <c r="A19" s="20" t="s">
        <v>298</v>
      </c>
      <c r="B19" s="21" t="n">
        <v>15000</v>
      </c>
      <c r="C19" s="21" t="n">
        <v>40000</v>
      </c>
      <c r="D19" s="7" t="s">
        <v>19</v>
      </c>
      <c r="E19" s="20" t="s">
        <v>20</v>
      </c>
      <c r="F19" s="20" t="s">
        <v>299</v>
      </c>
    </row>
    <row r="20" customFormat="false" ht="21.75" hidden="false" customHeight="true" outlineLevel="0" collapsed="false">
      <c r="A20" s="22" t="s">
        <v>300</v>
      </c>
      <c r="B20" s="23" t="n">
        <v>50000</v>
      </c>
      <c r="C20" s="23" t="n">
        <v>150000</v>
      </c>
      <c r="D20" s="11" t="s">
        <v>20</v>
      </c>
      <c r="E20" s="22" t="s">
        <v>28</v>
      </c>
      <c r="F20" s="22" t="s">
        <v>301</v>
      </c>
    </row>
    <row r="21" customFormat="false" ht="21.75" hidden="false" customHeight="true" outlineLevel="0" collapsed="false">
      <c r="A21" s="20" t="s">
        <v>302</v>
      </c>
      <c r="B21" s="21" t="n">
        <v>50000</v>
      </c>
      <c r="C21" s="21" t="n">
        <v>200000</v>
      </c>
      <c r="D21" s="11" t="s">
        <v>20</v>
      </c>
      <c r="E21" s="20" t="s">
        <v>20</v>
      </c>
      <c r="F21" s="20" t="s">
        <v>303</v>
      </c>
    </row>
    <row r="22" customFormat="false" ht="21.75" hidden="false" customHeight="true" outlineLevel="0" collapsed="false">
      <c r="A22" s="22" t="s">
        <v>304</v>
      </c>
      <c r="B22" s="23" t="n">
        <v>50000</v>
      </c>
      <c r="C22" s="23" t="n">
        <v>100000</v>
      </c>
      <c r="D22" s="11" t="s">
        <v>20</v>
      </c>
      <c r="E22" s="22" t="s">
        <v>20</v>
      </c>
      <c r="F22" s="22" t="s">
        <v>305</v>
      </c>
    </row>
    <row r="23" customFormat="false" ht="21.75" hidden="false" customHeight="true" outlineLevel="0" collapsed="false">
      <c r="A23" s="20" t="s">
        <v>306</v>
      </c>
      <c r="B23" s="21" t="n">
        <v>10000</v>
      </c>
      <c r="C23" s="21" t="n">
        <v>40000</v>
      </c>
      <c r="D23" s="10" t="s">
        <v>28</v>
      </c>
      <c r="E23" s="20" t="s">
        <v>28</v>
      </c>
      <c r="F23" s="20" t="s">
        <v>307</v>
      </c>
    </row>
    <row r="24" customFormat="false" ht="21.75" hidden="false" customHeight="true" outlineLevel="0" collapsed="false">
      <c r="A24" s="22" t="s">
        <v>308</v>
      </c>
      <c r="B24" s="23" t="n">
        <v>25000</v>
      </c>
      <c r="C24" s="23" t="n">
        <v>50000</v>
      </c>
      <c r="D24" s="11" t="s">
        <v>20</v>
      </c>
      <c r="E24" s="22" t="s">
        <v>28</v>
      </c>
      <c r="F24" s="22" t="s">
        <v>309</v>
      </c>
    </row>
    <row r="25" customFormat="false" ht="21.75" hidden="false" customHeight="true" outlineLevel="0" collapsed="false">
      <c r="A25" s="20" t="s">
        <v>310</v>
      </c>
      <c r="B25" s="21" t="n">
        <v>10000</v>
      </c>
      <c r="C25" s="21" t="n">
        <v>25000</v>
      </c>
      <c r="D25" s="11" t="s">
        <v>20</v>
      </c>
      <c r="E25" s="20" t="s">
        <v>28</v>
      </c>
      <c r="F25" s="20" t="s">
        <v>311</v>
      </c>
    </row>
    <row r="26" customFormat="false" ht="21.75" hidden="false" customHeight="true" outlineLevel="0" collapsed="false">
      <c r="A26" s="22" t="s">
        <v>312</v>
      </c>
      <c r="B26" s="23" t="n">
        <v>18000</v>
      </c>
      <c r="C26" s="23" t="n">
        <v>55000</v>
      </c>
      <c r="D26" s="11" t="s">
        <v>20</v>
      </c>
      <c r="E26" s="22" t="s">
        <v>28</v>
      </c>
      <c r="F26" s="22" t="s">
        <v>313</v>
      </c>
    </row>
    <row r="27" customFormat="false" ht="21.75" hidden="false" customHeight="true" outlineLevel="0" collapsed="false">
      <c r="A27" s="20" t="s">
        <v>314</v>
      </c>
      <c r="B27" s="21" t="n">
        <v>100000</v>
      </c>
      <c r="C27" s="21" t="n">
        <v>300000</v>
      </c>
      <c r="D27" s="11" t="s">
        <v>20</v>
      </c>
      <c r="E27" s="20" t="s">
        <v>259</v>
      </c>
      <c r="F27" s="20" t="s">
        <v>315</v>
      </c>
    </row>
    <row r="28" customFormat="false" ht="21.75" hidden="false" customHeight="true" outlineLevel="0" collapsed="false">
      <c r="A28" s="22" t="s">
        <v>316</v>
      </c>
      <c r="B28" s="23" t="n">
        <v>5000</v>
      </c>
      <c r="C28" s="23" t="n">
        <v>30000</v>
      </c>
      <c r="D28" s="10" t="s">
        <v>28</v>
      </c>
      <c r="E28" s="22" t="s">
        <v>20</v>
      </c>
      <c r="F28" s="22" t="s">
        <v>317</v>
      </c>
    </row>
    <row r="29" customFormat="false" ht="21.75" hidden="false" customHeight="true" outlineLevel="0" collapsed="false">
      <c r="A29" s="20" t="s">
        <v>318</v>
      </c>
      <c r="B29" s="21" t="n">
        <v>10000</v>
      </c>
      <c r="C29" s="21" t="n">
        <v>30000</v>
      </c>
      <c r="D29" s="7" t="s">
        <v>19</v>
      </c>
      <c r="E29" s="20" t="s">
        <v>20</v>
      </c>
      <c r="F29" s="20" t="s">
        <v>319</v>
      </c>
    </row>
    <row r="30" customFormat="false" ht="21.75" hidden="false" customHeight="true" outlineLevel="0" collapsed="false">
      <c r="A30" s="24" t="s">
        <v>320</v>
      </c>
      <c r="B30" s="25" t="n">
        <f aca="false">SUM(B15:B29)</f>
        <v>617116</v>
      </c>
      <c r="C30" s="25" t="n">
        <f aca="false">SUM(C15:C29)</f>
        <v>1574116</v>
      </c>
      <c r="D30" s="26"/>
      <c r="E30" s="26"/>
      <c r="F30" s="26"/>
      <c r="G30" s="26"/>
    </row>
    <row r="31" customFormat="false" ht="24" hidden="false" customHeight="true" outlineLevel="0" collapsed="false">
      <c r="A31" s="27" t="s">
        <v>321</v>
      </c>
      <c r="B31" s="27"/>
      <c r="C31" s="27"/>
    </row>
  </sheetData>
  <mergeCells count="5">
    <mergeCell ref="A1:G1"/>
    <mergeCell ref="A2:G2"/>
    <mergeCell ref="A4:G4"/>
    <mergeCell ref="A13:G13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3" t="s">
        <v>2</v>
      </c>
      <c r="B2" s="3" t="s">
        <v>323</v>
      </c>
      <c r="C2" s="3" t="s">
        <v>3</v>
      </c>
      <c r="D2" s="3" t="s">
        <v>8</v>
      </c>
      <c r="E2" s="3" t="s">
        <v>9</v>
      </c>
      <c r="F2" s="3" t="s">
        <v>324</v>
      </c>
      <c r="G2" s="3" t="s">
        <v>325</v>
      </c>
      <c r="H2" s="3" t="s">
        <v>326</v>
      </c>
    </row>
    <row r="3" customFormat="false" ht="42" hidden="false" customHeight="true" outlineLevel="0" collapsed="false">
      <c r="A3" s="28" t="n">
        <v>1</v>
      </c>
      <c r="B3" s="6" t="s">
        <v>327</v>
      </c>
      <c r="C3" s="6" t="s">
        <v>328</v>
      </c>
      <c r="D3" s="7" t="s">
        <v>19</v>
      </c>
      <c r="E3" s="6" t="s">
        <v>20</v>
      </c>
      <c r="F3" s="6" t="s">
        <v>329</v>
      </c>
      <c r="G3" s="6" t="s">
        <v>330</v>
      </c>
      <c r="H3" s="6" t="s">
        <v>331</v>
      </c>
    </row>
    <row r="4" customFormat="false" ht="42" hidden="false" customHeight="true" outlineLevel="0" collapsed="false">
      <c r="A4" s="29" t="n">
        <v>2</v>
      </c>
      <c r="B4" s="9" t="s">
        <v>332</v>
      </c>
      <c r="C4" s="9" t="s">
        <v>215</v>
      </c>
      <c r="D4" s="7" t="s">
        <v>19</v>
      </c>
      <c r="E4" s="9" t="s">
        <v>20</v>
      </c>
      <c r="F4" s="9" t="s">
        <v>219</v>
      </c>
      <c r="G4" s="9" t="s">
        <v>333</v>
      </c>
      <c r="H4" s="9" t="s">
        <v>331</v>
      </c>
    </row>
    <row r="5" customFormat="false" ht="42" hidden="false" customHeight="true" outlineLevel="0" collapsed="false">
      <c r="A5" s="28" t="n">
        <v>3</v>
      </c>
      <c r="B5" s="6" t="s">
        <v>334</v>
      </c>
      <c r="C5" s="6" t="s">
        <v>335</v>
      </c>
      <c r="D5" s="7" t="s">
        <v>19</v>
      </c>
      <c r="E5" s="6" t="s">
        <v>20</v>
      </c>
      <c r="F5" s="6" t="s">
        <v>336</v>
      </c>
      <c r="G5" s="6" t="s">
        <v>337</v>
      </c>
      <c r="H5" s="6" t="s">
        <v>331</v>
      </c>
    </row>
    <row r="6" customFormat="false" ht="42" hidden="false" customHeight="true" outlineLevel="0" collapsed="false">
      <c r="A6" s="29" t="n">
        <v>4</v>
      </c>
      <c r="B6" s="9" t="s">
        <v>338</v>
      </c>
      <c r="C6" s="9" t="s">
        <v>335</v>
      </c>
      <c r="D6" s="7" t="s">
        <v>19</v>
      </c>
      <c r="E6" s="9" t="s">
        <v>20</v>
      </c>
      <c r="F6" s="9" t="s">
        <v>163</v>
      </c>
      <c r="G6" s="9" t="s">
        <v>339</v>
      </c>
      <c r="H6" s="9" t="s">
        <v>331</v>
      </c>
    </row>
    <row r="7" customFormat="false" ht="42" hidden="false" customHeight="true" outlineLevel="0" collapsed="false">
      <c r="A7" s="28" t="n">
        <v>5</v>
      </c>
      <c r="B7" s="6" t="s">
        <v>340</v>
      </c>
      <c r="C7" s="6" t="s">
        <v>341</v>
      </c>
      <c r="D7" s="7" t="s">
        <v>19</v>
      </c>
      <c r="E7" s="6" t="s">
        <v>28</v>
      </c>
      <c r="F7" s="6" t="s">
        <v>158</v>
      </c>
      <c r="G7" s="6" t="s">
        <v>342</v>
      </c>
      <c r="H7" s="6" t="s">
        <v>331</v>
      </c>
    </row>
    <row r="8" customFormat="false" ht="42" hidden="false" customHeight="true" outlineLevel="0" collapsed="false">
      <c r="A8" s="29" t="n">
        <v>6</v>
      </c>
      <c r="B8" s="9" t="s">
        <v>343</v>
      </c>
      <c r="C8" s="9" t="s">
        <v>335</v>
      </c>
      <c r="D8" s="7" t="s">
        <v>19</v>
      </c>
      <c r="E8" s="9" t="s">
        <v>28</v>
      </c>
      <c r="F8" s="9" t="s">
        <v>153</v>
      </c>
      <c r="G8" s="9" t="s">
        <v>154</v>
      </c>
      <c r="H8" s="9" t="s">
        <v>331</v>
      </c>
    </row>
    <row r="9" customFormat="false" ht="42" hidden="false" customHeight="true" outlineLevel="0" collapsed="false">
      <c r="A9" s="28" t="n">
        <v>7</v>
      </c>
      <c r="B9" s="6" t="s">
        <v>344</v>
      </c>
      <c r="C9" s="6" t="s">
        <v>345</v>
      </c>
      <c r="D9" s="7" t="s">
        <v>19</v>
      </c>
      <c r="E9" s="6" t="s">
        <v>28</v>
      </c>
      <c r="F9" s="6" t="s">
        <v>346</v>
      </c>
      <c r="G9" s="6" t="s">
        <v>347</v>
      </c>
      <c r="H9" s="6" t="s">
        <v>331</v>
      </c>
    </row>
    <row r="10" customFormat="false" ht="42" hidden="false" customHeight="true" outlineLevel="0" collapsed="false">
      <c r="A10" s="29" t="n">
        <v>8</v>
      </c>
      <c r="B10" s="9" t="s">
        <v>348</v>
      </c>
      <c r="C10" s="9" t="s">
        <v>341</v>
      </c>
      <c r="D10" s="7" t="s">
        <v>19</v>
      </c>
      <c r="E10" s="9" t="s">
        <v>29</v>
      </c>
      <c r="F10" s="9" t="s">
        <v>349</v>
      </c>
      <c r="G10" s="9" t="s">
        <v>350</v>
      </c>
      <c r="H10" s="9" t="s">
        <v>351</v>
      </c>
    </row>
    <row r="11" customFormat="false" ht="42" hidden="false" customHeight="true" outlineLevel="0" collapsed="false">
      <c r="A11" s="28" t="n">
        <v>9</v>
      </c>
      <c r="B11" s="6" t="s">
        <v>352</v>
      </c>
      <c r="C11" s="6" t="s">
        <v>215</v>
      </c>
      <c r="D11" s="11" t="s">
        <v>20</v>
      </c>
      <c r="E11" s="6" t="s">
        <v>20</v>
      </c>
      <c r="F11" s="6" t="s">
        <v>353</v>
      </c>
      <c r="G11" s="6" t="s">
        <v>354</v>
      </c>
      <c r="H11" s="6" t="s">
        <v>355</v>
      </c>
    </row>
    <row r="12" customFormat="false" ht="42" hidden="false" customHeight="true" outlineLevel="0" collapsed="false">
      <c r="A12" s="29" t="n">
        <v>10</v>
      </c>
      <c r="B12" s="9" t="s">
        <v>356</v>
      </c>
      <c r="C12" s="9" t="s">
        <v>215</v>
      </c>
      <c r="D12" s="11" t="s">
        <v>20</v>
      </c>
      <c r="E12" s="9" t="s">
        <v>20</v>
      </c>
      <c r="F12" s="9" t="s">
        <v>357</v>
      </c>
      <c r="G12" s="9" t="s">
        <v>358</v>
      </c>
      <c r="H12" s="9" t="s">
        <v>355</v>
      </c>
    </row>
    <row r="13" customFormat="false" ht="42" hidden="false" customHeight="true" outlineLevel="0" collapsed="false">
      <c r="A13" s="28" t="n">
        <v>11</v>
      </c>
      <c r="B13" s="6" t="s">
        <v>359</v>
      </c>
      <c r="C13" s="6" t="s">
        <v>360</v>
      </c>
      <c r="D13" s="11" t="s">
        <v>20</v>
      </c>
      <c r="E13" s="6" t="s">
        <v>20</v>
      </c>
      <c r="F13" s="6" t="s">
        <v>158</v>
      </c>
      <c r="G13" s="6" t="s">
        <v>303</v>
      </c>
      <c r="H13" s="6" t="s">
        <v>331</v>
      </c>
    </row>
    <row r="14" customFormat="false" ht="42" hidden="false" customHeight="true" outlineLevel="0" collapsed="false">
      <c r="A14" s="29" t="n">
        <v>12</v>
      </c>
      <c r="B14" s="9" t="s">
        <v>361</v>
      </c>
      <c r="C14" s="9" t="s">
        <v>215</v>
      </c>
      <c r="D14" s="11" t="s">
        <v>20</v>
      </c>
      <c r="E14" s="9" t="s">
        <v>28</v>
      </c>
      <c r="F14" s="9" t="s">
        <v>362</v>
      </c>
      <c r="G14" s="9" t="s">
        <v>363</v>
      </c>
      <c r="H14" s="9" t="s">
        <v>331</v>
      </c>
    </row>
    <row r="15" customFormat="false" ht="42" hidden="false" customHeight="true" outlineLevel="0" collapsed="false">
      <c r="A15" s="28" t="n">
        <v>13</v>
      </c>
      <c r="B15" s="6" t="s">
        <v>364</v>
      </c>
      <c r="C15" s="6" t="s">
        <v>341</v>
      </c>
      <c r="D15" s="11" t="s">
        <v>20</v>
      </c>
      <c r="E15" s="6" t="s">
        <v>28</v>
      </c>
      <c r="F15" s="6" t="s">
        <v>365</v>
      </c>
      <c r="G15" s="6" t="s">
        <v>313</v>
      </c>
      <c r="H15" s="6" t="s">
        <v>331</v>
      </c>
    </row>
    <row r="16" customFormat="false" ht="42" hidden="false" customHeight="true" outlineLevel="0" collapsed="false">
      <c r="A16" s="29" t="n">
        <v>14</v>
      </c>
      <c r="B16" s="9" t="s">
        <v>366</v>
      </c>
      <c r="C16" s="9" t="s">
        <v>367</v>
      </c>
      <c r="D16" s="11" t="s">
        <v>20</v>
      </c>
      <c r="E16" s="9" t="s">
        <v>28</v>
      </c>
      <c r="F16" s="9" t="s">
        <v>207</v>
      </c>
      <c r="G16" s="9" t="s">
        <v>309</v>
      </c>
      <c r="H16" s="9" t="s">
        <v>331</v>
      </c>
    </row>
    <row r="17" customFormat="false" ht="42" hidden="false" customHeight="true" outlineLevel="0" collapsed="false">
      <c r="A17" s="28" t="n">
        <v>15</v>
      </c>
      <c r="B17" s="6" t="s">
        <v>368</v>
      </c>
      <c r="C17" s="6" t="s">
        <v>328</v>
      </c>
      <c r="D17" s="11" t="s">
        <v>20</v>
      </c>
      <c r="E17" s="6" t="s">
        <v>28</v>
      </c>
      <c r="F17" s="6" t="s">
        <v>70</v>
      </c>
      <c r="G17" s="6" t="s">
        <v>369</v>
      </c>
      <c r="H17" s="6" t="s">
        <v>331</v>
      </c>
    </row>
    <row r="18" customFormat="false" ht="42" hidden="false" customHeight="true" outlineLevel="0" collapsed="false">
      <c r="A18" s="29" t="n">
        <v>16</v>
      </c>
      <c r="B18" s="9" t="s">
        <v>370</v>
      </c>
      <c r="C18" s="9" t="s">
        <v>121</v>
      </c>
      <c r="D18" s="11" t="s">
        <v>20</v>
      </c>
      <c r="E18" s="9" t="s">
        <v>28</v>
      </c>
      <c r="F18" s="9" t="s">
        <v>371</v>
      </c>
      <c r="G18" s="9" t="s">
        <v>372</v>
      </c>
      <c r="H18" s="9" t="s">
        <v>331</v>
      </c>
    </row>
    <row r="19" customFormat="false" ht="42" hidden="false" customHeight="true" outlineLevel="0" collapsed="false">
      <c r="A19" s="28" t="n">
        <v>17</v>
      </c>
      <c r="B19" s="6" t="s">
        <v>373</v>
      </c>
      <c r="C19" s="6" t="s">
        <v>374</v>
      </c>
      <c r="D19" s="11" t="s">
        <v>20</v>
      </c>
      <c r="E19" s="6" t="s">
        <v>28</v>
      </c>
      <c r="F19" s="6" t="s">
        <v>174</v>
      </c>
      <c r="G19" s="6" t="s">
        <v>375</v>
      </c>
      <c r="H19" s="6" t="s">
        <v>331</v>
      </c>
    </row>
    <row r="20" customFormat="false" ht="42" hidden="false" customHeight="true" outlineLevel="0" collapsed="false">
      <c r="A20" s="29" t="n">
        <v>18</v>
      </c>
      <c r="B20" s="9" t="s">
        <v>376</v>
      </c>
      <c r="C20" s="9" t="s">
        <v>377</v>
      </c>
      <c r="D20" s="11" t="s">
        <v>20</v>
      </c>
      <c r="E20" s="9" t="s">
        <v>259</v>
      </c>
      <c r="F20" s="9" t="s">
        <v>378</v>
      </c>
      <c r="G20" s="9" t="s">
        <v>379</v>
      </c>
      <c r="H20" s="9" t="s">
        <v>331</v>
      </c>
    </row>
    <row r="21" customFormat="false" ht="42" hidden="false" customHeight="true" outlineLevel="0" collapsed="false">
      <c r="A21" s="28" t="n">
        <v>19</v>
      </c>
      <c r="B21" s="6" t="s">
        <v>380</v>
      </c>
      <c r="C21" s="6" t="s">
        <v>121</v>
      </c>
      <c r="D21" s="10" t="s">
        <v>28</v>
      </c>
      <c r="E21" s="6" t="s">
        <v>20</v>
      </c>
      <c r="F21" s="6" t="s">
        <v>381</v>
      </c>
      <c r="G21" s="6" t="s">
        <v>382</v>
      </c>
      <c r="H21" s="6" t="s">
        <v>331</v>
      </c>
    </row>
    <row r="22" customFormat="false" ht="42" hidden="false" customHeight="true" outlineLevel="0" collapsed="false">
      <c r="A22" s="29" t="n">
        <v>20</v>
      </c>
      <c r="B22" s="9" t="s">
        <v>383</v>
      </c>
      <c r="C22" s="9" t="s">
        <v>384</v>
      </c>
      <c r="D22" s="10" t="s">
        <v>28</v>
      </c>
      <c r="E22" s="9" t="s">
        <v>28</v>
      </c>
      <c r="F22" s="9" t="s">
        <v>385</v>
      </c>
      <c r="G22" s="9" t="s">
        <v>386</v>
      </c>
      <c r="H22" s="9" t="s">
        <v>331</v>
      </c>
    </row>
    <row r="23" customFormat="false" ht="42" hidden="false" customHeight="true" outlineLevel="0" collapsed="false">
      <c r="A23" s="28" t="n">
        <v>21</v>
      </c>
      <c r="B23" s="6" t="s">
        <v>387</v>
      </c>
      <c r="C23" s="6" t="s">
        <v>341</v>
      </c>
      <c r="D23" s="10" t="s">
        <v>28</v>
      </c>
      <c r="E23" s="6" t="s">
        <v>29</v>
      </c>
      <c r="F23" s="6" t="s">
        <v>388</v>
      </c>
      <c r="G23" s="6" t="s">
        <v>389</v>
      </c>
      <c r="H23" s="6" t="s">
        <v>331</v>
      </c>
    </row>
    <row r="24" customFormat="false" ht="42" hidden="false" customHeight="true" outlineLevel="0" collapsed="false">
      <c r="A24" s="29" t="n">
        <v>22</v>
      </c>
      <c r="B24" s="9" t="s">
        <v>390</v>
      </c>
      <c r="C24" s="9" t="s">
        <v>328</v>
      </c>
      <c r="D24" s="10" t="s">
        <v>28</v>
      </c>
      <c r="E24" s="9" t="s">
        <v>28</v>
      </c>
      <c r="F24" s="9" t="s">
        <v>391</v>
      </c>
      <c r="G24" s="9" t="s">
        <v>392</v>
      </c>
      <c r="H24" s="9" t="s">
        <v>331</v>
      </c>
    </row>
    <row r="25" customFormat="false" ht="42" hidden="false" customHeight="true" outlineLevel="0" collapsed="false">
      <c r="A25" s="28" t="n">
        <v>23</v>
      </c>
      <c r="B25" s="6" t="s">
        <v>393</v>
      </c>
      <c r="C25" s="6" t="s">
        <v>377</v>
      </c>
      <c r="D25" s="10" t="s">
        <v>28</v>
      </c>
      <c r="E25" s="6" t="s">
        <v>28</v>
      </c>
      <c r="F25" s="6" t="s">
        <v>394</v>
      </c>
      <c r="G25" s="6" t="s">
        <v>395</v>
      </c>
      <c r="H25" s="6" t="s">
        <v>331</v>
      </c>
    </row>
    <row r="26" customFormat="false" ht="42" hidden="false" customHeight="true" outlineLevel="0" collapsed="false">
      <c r="A26" s="29" t="n">
        <v>24</v>
      </c>
      <c r="B26" s="9" t="s">
        <v>396</v>
      </c>
      <c r="C26" s="9" t="s">
        <v>121</v>
      </c>
      <c r="D26" s="10" t="s">
        <v>28</v>
      </c>
      <c r="E26" s="9" t="s">
        <v>28</v>
      </c>
      <c r="F26" s="9" t="s">
        <v>397</v>
      </c>
      <c r="G26" s="9" t="s">
        <v>398</v>
      </c>
      <c r="H26" s="9" t="s">
        <v>331</v>
      </c>
    </row>
    <row r="27" customFormat="false" ht="42" hidden="false" customHeight="true" outlineLevel="0" collapsed="false">
      <c r="A27" s="28" t="n">
        <v>25</v>
      </c>
      <c r="B27" s="6" t="s">
        <v>399</v>
      </c>
      <c r="C27" s="6" t="s">
        <v>341</v>
      </c>
      <c r="D27" s="10" t="s">
        <v>28</v>
      </c>
      <c r="E27" s="6" t="s">
        <v>28</v>
      </c>
      <c r="F27" s="6" t="s">
        <v>400</v>
      </c>
      <c r="G27" s="6" t="s">
        <v>401</v>
      </c>
      <c r="H27" s="6" t="s">
        <v>402</v>
      </c>
    </row>
  </sheetData>
  <autoFilter ref="A2:H2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30" t="s">
        <v>403</v>
      </c>
      <c r="B1" s="30"/>
      <c r="C1" s="30"/>
      <c r="D1" s="30"/>
      <c r="E1" s="30"/>
      <c r="F1" s="30"/>
    </row>
    <row r="2" customFormat="false" ht="21.75" hidden="false" customHeight="true" outlineLevel="0" collapsed="false">
      <c r="A2" s="3" t="s">
        <v>2</v>
      </c>
      <c r="B2" s="3" t="s">
        <v>404</v>
      </c>
      <c r="C2" s="3" t="s">
        <v>405</v>
      </c>
      <c r="D2" s="3" t="s">
        <v>406</v>
      </c>
      <c r="E2" s="3" t="s">
        <v>407</v>
      </c>
      <c r="F2" s="3" t="s">
        <v>12</v>
      </c>
    </row>
    <row r="3" customFormat="false" ht="48" hidden="false" customHeight="true" outlineLevel="0" collapsed="false">
      <c r="A3" s="31" t="n">
        <v>1</v>
      </c>
      <c r="B3" s="32" t="s">
        <v>408</v>
      </c>
      <c r="C3" s="32" t="s">
        <v>409</v>
      </c>
      <c r="D3" s="33" t="s">
        <v>410</v>
      </c>
      <c r="E3" s="33" t="s">
        <v>411</v>
      </c>
      <c r="F3" s="33" t="s">
        <v>412</v>
      </c>
    </row>
    <row r="4" customFormat="false" ht="48" hidden="false" customHeight="true" outlineLevel="0" collapsed="false">
      <c r="A4" s="34" t="n">
        <v>2</v>
      </c>
      <c r="B4" s="35" t="s">
        <v>413</v>
      </c>
      <c r="C4" s="35" t="s">
        <v>414</v>
      </c>
      <c r="D4" s="36" t="s">
        <v>22</v>
      </c>
      <c r="E4" s="36" t="s">
        <v>411</v>
      </c>
      <c r="F4" s="36" t="s">
        <v>412</v>
      </c>
    </row>
    <row r="5" customFormat="false" ht="48" hidden="false" customHeight="true" outlineLevel="0" collapsed="false">
      <c r="A5" s="31" t="n">
        <v>3</v>
      </c>
      <c r="B5" s="32" t="s">
        <v>415</v>
      </c>
      <c r="C5" s="32" t="s">
        <v>416</v>
      </c>
      <c r="D5" s="33" t="s">
        <v>182</v>
      </c>
      <c r="E5" s="33" t="s">
        <v>411</v>
      </c>
      <c r="F5" s="33" t="s">
        <v>412</v>
      </c>
    </row>
    <row r="6" customFormat="false" ht="48" hidden="false" customHeight="true" outlineLevel="0" collapsed="false">
      <c r="A6" s="34" t="n">
        <v>4</v>
      </c>
      <c r="B6" s="35" t="s">
        <v>417</v>
      </c>
      <c r="C6" s="35" t="s">
        <v>418</v>
      </c>
      <c r="D6" s="36" t="s">
        <v>182</v>
      </c>
      <c r="E6" s="36" t="s">
        <v>411</v>
      </c>
      <c r="F6" s="36" t="s">
        <v>412</v>
      </c>
    </row>
    <row r="7" customFormat="false" ht="48" hidden="false" customHeight="true" outlineLevel="0" collapsed="false">
      <c r="A7" s="31" t="n">
        <v>5</v>
      </c>
      <c r="B7" s="32" t="s">
        <v>419</v>
      </c>
      <c r="C7" s="32" t="s">
        <v>420</v>
      </c>
      <c r="D7" s="33" t="s">
        <v>22</v>
      </c>
      <c r="E7" s="33" t="s">
        <v>411</v>
      </c>
      <c r="F7" s="33" t="s">
        <v>412</v>
      </c>
    </row>
    <row r="8" customFormat="false" ht="48" hidden="false" customHeight="true" outlineLevel="0" collapsed="false">
      <c r="A8" s="34" t="n">
        <v>6</v>
      </c>
      <c r="B8" s="35" t="s">
        <v>421</v>
      </c>
      <c r="C8" s="35" t="s">
        <v>422</v>
      </c>
      <c r="D8" s="36" t="s">
        <v>423</v>
      </c>
      <c r="E8" s="36" t="s">
        <v>411</v>
      </c>
      <c r="F8" s="36" t="s">
        <v>412</v>
      </c>
    </row>
    <row r="9" customFormat="false" ht="48" hidden="false" customHeight="true" outlineLevel="0" collapsed="false">
      <c r="A9" s="31" t="n">
        <v>7</v>
      </c>
      <c r="B9" s="32" t="s">
        <v>424</v>
      </c>
      <c r="C9" s="32" t="s">
        <v>425</v>
      </c>
      <c r="D9" s="33" t="s">
        <v>47</v>
      </c>
      <c r="E9" s="33" t="s">
        <v>411</v>
      </c>
      <c r="F9" s="33" t="s">
        <v>412</v>
      </c>
    </row>
    <row r="10" customFormat="false" ht="48" hidden="false" customHeight="true" outlineLevel="0" collapsed="false">
      <c r="A10" s="34" t="n">
        <v>8</v>
      </c>
      <c r="B10" s="35" t="s">
        <v>426</v>
      </c>
      <c r="C10" s="35" t="s">
        <v>427</v>
      </c>
      <c r="D10" s="36" t="s">
        <v>227</v>
      </c>
      <c r="E10" s="36" t="s">
        <v>411</v>
      </c>
      <c r="F10" s="36" t="s">
        <v>412</v>
      </c>
    </row>
    <row r="11" customFormat="false" ht="48" hidden="false" customHeight="true" outlineLevel="0" collapsed="false">
      <c r="A11" s="31" t="n">
        <v>9</v>
      </c>
      <c r="B11" s="32" t="s">
        <v>428</v>
      </c>
      <c r="C11" s="32" t="s">
        <v>429</v>
      </c>
      <c r="D11" s="33" t="s">
        <v>61</v>
      </c>
      <c r="E11" s="33" t="s">
        <v>411</v>
      </c>
      <c r="F11" s="33" t="s">
        <v>412</v>
      </c>
    </row>
    <row r="12" customFormat="false" ht="48" hidden="false" customHeight="true" outlineLevel="0" collapsed="false">
      <c r="A12" s="34" t="n">
        <v>10</v>
      </c>
      <c r="B12" s="35" t="s">
        <v>430</v>
      </c>
      <c r="C12" s="35" t="s">
        <v>431</v>
      </c>
      <c r="D12" s="36" t="s">
        <v>423</v>
      </c>
      <c r="E12" s="36" t="s">
        <v>411</v>
      </c>
      <c r="F12" s="36" t="s">
        <v>412</v>
      </c>
    </row>
    <row r="13" customFormat="false" ht="48" hidden="false" customHeight="true" outlineLevel="0" collapsed="false">
      <c r="A13" s="31" t="n">
        <v>11</v>
      </c>
      <c r="B13" s="32" t="s">
        <v>432</v>
      </c>
      <c r="C13" s="32" t="s">
        <v>433</v>
      </c>
      <c r="D13" s="33" t="s">
        <v>47</v>
      </c>
      <c r="E13" s="33" t="s">
        <v>411</v>
      </c>
      <c r="F13" s="33" t="s">
        <v>412</v>
      </c>
    </row>
    <row r="14" customFormat="false" ht="48" hidden="false" customHeight="true" outlineLevel="0" collapsed="false">
      <c r="A14" s="34" t="n">
        <v>12</v>
      </c>
      <c r="B14" s="35" t="s">
        <v>434</v>
      </c>
      <c r="C14" s="35" t="s">
        <v>435</v>
      </c>
      <c r="D14" s="36" t="s">
        <v>176</v>
      </c>
      <c r="E14" s="36" t="s">
        <v>411</v>
      </c>
      <c r="F14" s="36" t="s">
        <v>412</v>
      </c>
    </row>
    <row r="15" customFormat="false" ht="48" hidden="false" customHeight="true" outlineLevel="0" collapsed="false">
      <c r="A15" s="31" t="n">
        <v>13</v>
      </c>
      <c r="B15" s="32" t="s">
        <v>436</v>
      </c>
      <c r="C15" s="32" t="s">
        <v>437</v>
      </c>
      <c r="D15" s="33" t="s">
        <v>92</v>
      </c>
      <c r="E15" s="33" t="s">
        <v>411</v>
      </c>
      <c r="F15" s="33" t="s">
        <v>412</v>
      </c>
    </row>
    <row r="16" customFormat="false" ht="48" hidden="false" customHeight="true" outlineLevel="0" collapsed="false">
      <c r="A16" s="34" t="n">
        <v>14</v>
      </c>
      <c r="B16" s="35" t="s">
        <v>438</v>
      </c>
      <c r="C16" s="35" t="s">
        <v>439</v>
      </c>
      <c r="D16" s="36" t="s">
        <v>47</v>
      </c>
      <c r="E16" s="36" t="s">
        <v>411</v>
      </c>
      <c r="F16" s="36" t="s">
        <v>412</v>
      </c>
    </row>
    <row r="17" customFormat="false" ht="48" hidden="false" customHeight="true" outlineLevel="0" collapsed="false">
      <c r="A17" s="31" t="n">
        <v>15</v>
      </c>
      <c r="B17" s="32" t="s">
        <v>440</v>
      </c>
      <c r="C17" s="32" t="s">
        <v>441</v>
      </c>
      <c r="D17" s="33" t="s">
        <v>47</v>
      </c>
      <c r="E17" s="33" t="s">
        <v>411</v>
      </c>
      <c r="F17" s="33" t="s">
        <v>412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2026-05-19T19:33:12Z</dcterms:created>
  <dc:creator>openpyxl</dc:creator>
  <dc:description/>
  <dc:language>en-US</dc:language>
  <cp:lastModifiedBy/>
  <dcterms:modified xsi:type="dcterms:W3CDTF">2026-05-19T19:33:12Z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