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Use Case Mapping" sheetId="2" state="visible" r:id="rId4"/>
    <sheet name="Archetypes" sheetId="3" state="visible" r:id="rId5"/>
    <sheet name="Risk Tiers" sheetId="4" state="visible" r:id="rId6"/>
    <sheet name="Roadmap" sheetId="5" state="visible" r:id="rId7"/>
    <sheet name="Platform Services" sheetId="6" state="visible" r:id="rId8"/>
  </sheets>
  <definedNames>
    <definedName function="false" hidden="true" localSheetId="1" name="_xlnm._FilterDatabase" vbProcedure="false">'Use Case Mapping'!$A$4:$M$29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<sst xmlns="http://schemas.openxmlformats.org/spreadsheetml/2006/main" count="470" uniqueCount="309">
  <si>
    <t xml:space="preserve">Agentic Use Case Portfolio — Overview</t>
  </si>
  <si>
    <t xml:space="preserve">All counts are live formulas over the Use Case Mapping sheet.</t>
  </si>
  <si>
    <t xml:space="preserve">By Archetype</t>
  </si>
  <si>
    <t xml:space="preserve">Archetype</t>
  </si>
  <si>
    <t xml:space="preserve">Primary</t>
  </si>
  <si>
    <t xml:space="preserve">Secondary</t>
  </si>
  <si>
    <t xml:space="preserve">A1 Extract &amp; Validate</t>
  </si>
  <si>
    <t xml:space="preserve">A2 Compare &amp; Flag</t>
  </si>
  <si>
    <t xml:space="preserve">A3 Screen &amp; Build Universe</t>
  </si>
  <si>
    <t xml:space="preserve">A4 Draft with Evidence</t>
  </si>
  <si>
    <t xml:space="preserve">A5 Answer with Citations</t>
  </si>
  <si>
    <t xml:space="preserve">A6 Synthesize &amp; Remember</t>
  </si>
  <si>
    <t xml:space="preserve">Total</t>
  </si>
  <si>
    <t xml:space="preserve">By Risk Tier</t>
  </si>
  <si>
    <t xml:space="preserve">By Wave</t>
  </si>
  <si>
    <t xml:space="preserve">Tier</t>
  </si>
  <si>
    <t xml:space="preserve">Count</t>
  </si>
  <si>
    <t xml:space="preserve">Wave</t>
  </si>
  <si>
    <t xml:space="preserve">Tier 1</t>
  </si>
  <si>
    <t xml:space="preserve">W1</t>
  </si>
  <si>
    <t xml:space="preserve">Tier 2</t>
  </si>
  <si>
    <t xml:space="preserve">W2</t>
  </si>
  <si>
    <t xml:space="preserve">Tier 3</t>
  </si>
  <si>
    <t xml:space="preserve">W3</t>
  </si>
  <si>
    <t xml:space="preserve">W4</t>
  </si>
  <si>
    <t xml:space="preserve">Reading guide</t>
  </si>
  <si>
    <t xml:space="preserve">Use Case Mapping - the master table: filter by LOB, archetype, tier, or wave.</t>
  </si>
  <si>
    <t xml:space="preserve">Archetypes - the six reusable stacks with implementation blueprints (use-case counts are live).</t>
  </si>
  <si>
    <t xml:space="preserve">Risk Tiers - tier definitions, autonomy ceilings, and required control sets.</t>
  </si>
  <si>
    <t xml:space="preserve">Roadmap - four delivery waves with entry/exit criteria.</t>
  </si>
  <si>
    <t xml:space="preserve">Platform Services - the build-once shared layer each archetype consumes.</t>
  </si>
  <si>
    <t xml:space="preserve">Use Case → Archetype → Pattern Mapping</t>
  </si>
  <si>
    <t xml:space="preserve">25 use cases, 6 reusable archetypes. Filter, sort, and re-tier as the portfolio evolves.</t>
  </si>
  <si>
    <t xml:space="preserve">#</t>
  </si>
  <si>
    <t xml:space="preserve">LOB</t>
  </si>
  <si>
    <t xml:space="preserve">Use Case</t>
  </si>
  <si>
    <t xml:space="preserve">Primary Archetype</t>
  </si>
  <si>
    <t xml:space="preserve">Secondary Archetype</t>
  </si>
  <si>
    <t xml:space="preserve">Pattern Stack</t>
  </si>
  <si>
    <t xml:space="preserve">Risk Tier</t>
  </si>
  <si>
    <t xml:space="preserve">Autonomy Ceiling</t>
  </si>
  <si>
    <t xml:space="preserve">Data Sensitivity</t>
  </si>
  <si>
    <t xml:space="preserve">Output Type</t>
  </si>
  <si>
    <t xml:space="preserve">Key Controls</t>
  </si>
  <si>
    <t xml:space="preserve">Implementation Notes</t>
  </si>
  <si>
    <t xml:space="preserve">CAB</t>
  </si>
  <si>
    <t xml:space="preserve">Term sheet-to-booking translator</t>
  </si>
  <si>
    <t xml:space="preserve">Prompt chaining + structured output + field confidence + maker-checker</t>
  </si>
  <si>
    <t xml:space="preserve">Propose-only</t>
  </si>
  <si>
    <t xml:space="preserve">Confidential (deal terms)</t>
  </si>
  <si>
    <t xml:space="preserve">Booking instructions + completeness checklist (pending)</t>
  </si>
  <si>
    <t xml:space="preserve">Maker-checker before funding; schema per product type; completeness rules deterministic; full evidence trail</t>
  </si>
  <si>
    <t xml:space="preserve">Validate against product-type checklists in code, not the model; nothing reaches Ops as final until checked; pilot on one product type</t>
  </si>
  <si>
    <t xml:space="preserve">Financial spreading assistant</t>
  </si>
  <si>
    <t xml:space="preserve">LLM extraction + deterministic ratio engine + LLM variance commentary</t>
  </si>
  <si>
    <t xml:space="preserve">Execute w/ approval</t>
  </si>
  <si>
    <t xml:space="preserve">Confidential (borrower financials)</t>
  </si>
  <si>
    <t xml:space="preserve">Spread + covenant headroom + draft commentary</t>
  </si>
  <si>
    <t xml:space="preserve">Ratios and headroom computed in code; commentary cites the computed diff; analyst signs the spread</t>
  </si>
  <si>
    <t xml:space="preserve">The number is never model-generated: LLM maps statement lines to the template, engine computes, LLM narrates</t>
  </si>
  <si>
    <t xml:space="preserve">Collections prioritization engine</t>
  </si>
  <si>
    <t xml:space="preserve">Deterministic/classical scoring core + LLM outreach drafting + playbook selection</t>
  </si>
  <si>
    <t xml:space="preserve">Confidential (client PII)</t>
  </si>
  <si>
    <t xml:space="preserve">Ranked queue + draft outreach scripts + follow-up schedule</t>
  </si>
  <si>
    <t xml:space="preserve">Scoring model under MRM validation; outreach from approved script playbook; fair-treatment review; human sends</t>
  </si>
  <si>
    <t xml:space="preserve">Recovery-likelihood score is a classical model, not an LLM; LLM personalizes from approved templates only</t>
  </si>
  <si>
    <t xml:space="preserve">Credit Alternatives</t>
  </si>
  <si>
    <t xml:space="preserve">Virtual assistant - investment management</t>
  </si>
  <si>
    <t xml:space="preserve">RAG + hybrid retrieval + entitlement filters + abstention</t>
  </si>
  <si>
    <t xml:space="preserve">Confidential (private transaction terms)</t>
  </si>
  <si>
    <t xml:space="preserve">Cited chat answers over deal docs</t>
  </si>
  <si>
    <t xml:space="preserve">Deal-level entitlements enforced in the index query; citation-or-silence; abstain below retrieval threshold</t>
  </si>
  <si>
    <t xml:space="preserve">Access boundaries are per-deal/per-LP; never post-filter; log every retrieval for audit</t>
  </si>
  <si>
    <t xml:space="preserve">Private credit covenant monitor</t>
  </si>
  <si>
    <t xml:space="preserve">Doc extraction (covenants/baskets/triggers) + deterministic monitoring engine + exceptions dashboard + draft outreach</t>
  </si>
  <si>
    <t xml:space="preserve">Confidential (credit docs)</t>
  </si>
  <si>
    <t xml:space="preserve">Covenant register + exceptions dashboard + draft sponsor outreach</t>
  </si>
  <si>
    <t xml:space="preserve">Extracted covenant terms human-verified once at setup; breach math in code; outreach drafts reviewed before send</t>
  </si>
  <si>
    <t xml:space="preserve">Two-phase design: extraction is one-time-per-doc with HITL sign-off; monitoring then runs deterministically against borrower reporting</t>
  </si>
  <si>
    <t xml:space="preserve">Automated monitoring (insurer transaction tagging)</t>
  </si>
  <si>
    <t xml:space="preserve">Structured output + field confidence + pending-state writes</t>
  </si>
  <si>
    <t xml:space="preserve">Confidential</t>
  </si>
  <si>
    <t xml:space="preserve">Tagged records in centralized DB (pending until sampled)</t>
  </si>
  <si>
    <t xml:space="preserve">Field-level confidence; low-confidence to human queue; sampled QC on auto-accepted records; DB writes via gated service</t>
  </si>
  <si>
    <t xml:space="preserve">Start at 100% review, ratchet down to sampling as eval evidence accumulates</t>
  </si>
  <si>
    <t xml:space="preserve">FI</t>
  </si>
  <si>
    <t xml:space="preserve">Irish ADR dividend tax reclaim documentation</t>
  </si>
  <si>
    <t xml:space="preserve">Extraction + template filling + deterministic eligibility/amount rules + maker-checker</t>
  </si>
  <si>
    <t xml:space="preserve">Confidential (client tax data)</t>
  </si>
  <si>
    <t xml:space="preserve">Reclaim filing packs (pending)</t>
  </si>
  <si>
    <t xml:space="preserve">Reclaim amounts and eligibility computed in code; tax authority format rules as validators; checker signs every filing</t>
  </si>
  <si>
    <t xml:space="preserve">Tax filings are Tier 1: the model assembles and fills, deterministic rules compute, a human files</t>
  </si>
  <si>
    <t xml:space="preserve">N-2 Universe Builder &amp; Structured Credit Screener</t>
  </si>
  <si>
    <t xml:space="preserve">Scheduled batch + deterministic pre-filters + LLM classification + evidence links</t>
  </si>
  <si>
    <t xml:space="preserve">Execute w/ sampled review</t>
  </si>
  <si>
    <t xml:space="preserve">Public (filings)</t>
  </si>
  <si>
    <t xml:space="preserve">Evidence-linked fund universe subset</t>
  </si>
  <si>
    <t xml:space="preserve">Every include/exclude decision logged with the marker that drove it; sampled review of exclusions; rerun reproducibility</t>
  </si>
  <si>
    <t xml:space="preserve">Cheap deterministic filters first (form type, keywords), LLM only on survivors; exclusion errors are the silent risk - sample them</t>
  </si>
  <si>
    <t xml:space="preserve">Funds</t>
  </si>
  <si>
    <t xml:space="preserve">K-1 drafting</t>
  </si>
  <si>
    <t xml:space="preserve">Template-conditioned drafting + deterministic figure sourcing + reflection critic + maker-checker</t>
  </si>
  <si>
    <t xml:space="preserve">Confidential (investor tax data)</t>
  </si>
  <si>
    <t xml:space="preserve">Draft K-1s (pending)</t>
  </si>
  <si>
    <t xml:space="preserve">All figures sourced from systems of record, never generated; critic checks template conformance; tax team owns release</t>
  </si>
  <si>
    <t xml:space="preserve">The model drafts narrative/format around system-sourced numbers; any figure the model produced rather than pulled is a defect</t>
  </si>
  <si>
    <t xml:space="preserve">Investor query copilot</t>
  </si>
  <si>
    <t xml:space="preserve">RAG over fund docs/notices/FAQs + citations + draft response generation</t>
  </si>
  <si>
    <t xml:space="preserve">Confidential (fund/LP docs)</t>
  </si>
  <si>
    <t xml:space="preserve">Draft investor responses with citations</t>
  </si>
  <si>
    <t xml:space="preserve">Fund-level entitlements in retrieval; citation-or-silence; IR team reviews and sends; abstain on performance/advice questions</t>
  </si>
  <si>
    <t xml:space="preserve">Wave 1 anchor: high volume, drafts only, human always sends - ideal trust-builder with real controls</t>
  </si>
  <si>
    <t xml:space="preserve">IRG</t>
  </si>
  <si>
    <t xml:space="preserve">Manager KPI benchmarker</t>
  </si>
  <si>
    <t xml:space="preserve">Extraction from filings/tearsheets + deterministic standardization &amp; peer stats + outlier flagging</t>
  </si>
  <si>
    <t xml:space="preserve">Internal/vendor data</t>
  </si>
  <si>
    <t xml:space="preserve">Standardized KPI table + outliers + ODD question list</t>
  </si>
  <si>
    <t xml:space="preserve">KPI normalization rules in code; outlier thresholds configurable; extraction spans linked for verification</t>
  </si>
  <si>
    <t xml:space="preserve">Benchmark math is deterministic; the LLM maps heterogeneous disclosures into the standard schema and drafts ODD questions</t>
  </si>
  <si>
    <t xml:space="preserve">CPMS search enhancement</t>
  </si>
  <si>
    <t xml:space="preserve">Hybrid retrieval over internal IRG database + query rewriting</t>
  </si>
  <si>
    <t xml:space="preserve">Internal</t>
  </si>
  <si>
    <t xml:space="preserve">Relevant data pulls / ranked results</t>
  </si>
  <si>
    <t xml:space="preserve">Read-only access; result provenance shown; relevance feedback captured</t>
  </si>
  <si>
    <t xml:space="preserve">Pure retrieval quality play: hybrid search + reranking over CPMS; lowest-risk entry point for IRG</t>
  </si>
  <si>
    <t xml:space="preserve">MFO</t>
  </si>
  <si>
    <t xml:space="preserve">Daily deposit/withdrawal reporting &amp; next steps</t>
  </si>
  <si>
    <t xml:space="preserve">Deterministic data aggregation + templated summary drafting + playbook-constrained recommendations</t>
  </si>
  <si>
    <t xml:space="preserve">Daily report + recommended next steps (from playbook)</t>
  </si>
  <si>
    <t xml:space="preserve">Figures from systems of record; recommendations selected from approved playbook, never free-form advice; advisor reviews</t>
  </si>
  <si>
    <t xml:space="preserve">The riskiest element is 'recommendations' - constrain to a pre-approved action playbook with selection rationale</t>
  </si>
  <si>
    <t xml:space="preserve">Charitable giving optimizer</t>
  </si>
  <si>
    <t xml:space="preserve">Deterministic tax-benefit calculators + LLM outline drafting + reflection critic</t>
  </si>
  <si>
    <t xml:space="preserve">Confidential (client tax/positions)</t>
  </si>
  <si>
    <t xml:space="preserve">Giving outline + tax benefit summary (draft)</t>
  </si>
  <si>
    <t xml:space="preserve">Tax math in validated calculators; outputs framed as scenarios for advisor review, not advice; suitability stays human</t>
  </si>
  <si>
    <t xml:space="preserve">Lot selection and benefit math are computation; the model explains and structures - it never invents a tax number</t>
  </si>
  <si>
    <t xml:space="preserve">Relationship memory &amp; interaction summarization</t>
  </si>
  <si>
    <t xml:space="preserve">CDC ingestion (CRM/email/notes) + per-client context store + scheduled re-synthesis + pinned facts</t>
  </si>
  <si>
    <t xml:space="preserve">Continuously updated relationship summary</t>
  </si>
  <si>
    <t xml:space="preserve">Highest data classification; retention &amp; deletion propagate to the store; write policy excludes secrets; access mirrors CRM entitlements</t>
  </si>
  <si>
    <t xml:space="preserve">Pinned-facts pattern so sensitivities and standing instructions never compact away; scheduled synthesis beats on-demand for cost and consistency</t>
  </si>
  <si>
    <t xml:space="preserve">Ops / Admin</t>
  </si>
  <si>
    <t xml:space="preserve">Policy-to-procedure conformance checker</t>
  </si>
  <si>
    <t xml:space="preserve">Clause-level extraction + deterministic diff/coverage mapping + redline drafting with trace</t>
  </si>
  <si>
    <t xml:space="preserve">Internal (policies/SOPs)</t>
  </si>
  <si>
    <t xml:space="preserve">Gap report + draft redlines with traceability</t>
  </si>
  <si>
    <t xml:space="preserve">Coverage mapping rules explicit; every flagged gap cites both policy and SOP spans; owners accept/reject redlines</t>
  </si>
  <si>
    <t xml:space="preserve">Treat as requirements-coverage analysis: deterministic mapping of obligations to procedure steps, LLM drafts the redline text</t>
  </si>
  <si>
    <t xml:space="preserve">Meeting notetaker / transcription</t>
  </si>
  <si>
    <t xml:space="preserve">Transcription + templated summary + action-item extraction</t>
  </si>
  <si>
    <t xml:space="preserve">Draft meeting notes &amp; action items</t>
  </si>
  <si>
    <t xml:space="preserve">Drafts clearly labeled; participants edit; retention policy on recordings/transcripts; consent per policy</t>
  </si>
  <si>
    <t xml:space="preserve">Wave 1 trust-builder; the governance question is recording consent and transcript retention, not model risk</t>
  </si>
  <si>
    <t xml:space="preserve">SDLC project management documentation</t>
  </si>
  <si>
    <t xml:space="preserve">Template-conditioned drafting over project artifacts + reflection critic</t>
  </si>
  <si>
    <t xml:space="preserve">Draft roadmaps, requirements, procedures</t>
  </si>
  <si>
    <t xml:space="preserve">Drafts only; document owners review; version control through normal SDLC; templates as skeletons</t>
  </si>
  <si>
    <t xml:space="preserve">~15 FTE leverage today: highest-volume internal win; chain per-section, never one mega-prompt per document</t>
  </si>
  <si>
    <t xml:space="preserve">PE</t>
  </si>
  <si>
    <t xml:space="preserve">IC memo drafting (exec summary, risks, VCP)</t>
  </si>
  <si>
    <t xml:space="preserve">RAG over deal room + template-conditioned sections + reflection critic + assertion-level evidence links</t>
  </si>
  <si>
    <t xml:space="preserve">Confidential (deal data)</t>
  </si>
  <si>
    <t xml:space="preserve">First-draft IC memo sections with evidence trace</t>
  </si>
  <si>
    <t xml:space="preserve">Every assertion links to underlying evidence; critic scores traceability &amp; template conformance; deal team owns the memo</t>
  </si>
  <si>
    <t xml:space="preserve">Section-by-section chaining against the memo template; risk matrix entries each carry their source citation</t>
  </si>
  <si>
    <t xml:space="preserve">Industry &amp; competitive landscape sections</t>
  </si>
  <si>
    <t xml:space="preserve">RAG over sourced market data + footnoted drafting + template tone conditioning</t>
  </si>
  <si>
    <t xml:space="preserve">Drafted market &amp; competitive sections with footnotes</t>
  </si>
  <si>
    <t xml:space="preserve">Approved data sources only; every figure footnoted; vendor licensing respected in retrieval corpus</t>
  </si>
  <si>
    <t xml:space="preserve">Pair with the research aggregation service (A6) as its feed; footnote discipline is the eval criterion</t>
  </si>
  <si>
    <t xml:space="preserve">Public Equities</t>
  </si>
  <si>
    <t xml:space="preserve">Client review &amp; investment survey harmonization</t>
  </si>
  <si>
    <t xml:space="preserve">Per-document extraction schemas + field confidence + harmonized summary generation</t>
  </si>
  <si>
    <t xml:space="preserve">Confidential (client holdings)</t>
  </si>
  <si>
    <t xml:space="preserve">Harmonized summaries + analyst review flags</t>
  </si>
  <si>
    <t xml:space="preserve">Constraint/exposure extraction verified above threshold only; changes-requiring-review explicitly flagged; analyst confirms</t>
  </si>
  <si>
    <t xml:space="preserve">Bespoke inbound formats are the challenge: schema-per-source-type with a fallback human queue for unrecognized formats</t>
  </si>
  <si>
    <t xml:space="preserve">Public data &amp; research aggregation</t>
  </si>
  <si>
    <t xml:space="preserve">Continuous ingestion (news/filings/transcripts/sentiment) + per-ticker store + scheduled briefs</t>
  </si>
  <si>
    <t xml:space="preserve">Public/vendor data</t>
  </si>
  <si>
    <t xml:space="preserve">Analyst-ready briefs with source links</t>
  </si>
  <si>
    <t xml:space="preserve">Source whitelist (licensing &amp; quality); sentiment clearly labeled as signal not fact; brief provenance per item</t>
  </si>
  <si>
    <t xml:space="preserve">Per-ticker context store with freshness SLAs; vendor content licensing reviewed before it enters the corpus</t>
  </si>
  <si>
    <t xml:space="preserve">Trust Co.</t>
  </si>
  <si>
    <t xml:space="preserve">Fee schedule compliance checker</t>
  </si>
  <si>
    <t xml:space="preserve">Fee terms extraction (one-time, verified) + deterministic assessment comparison + deviation memos</t>
  </si>
  <si>
    <t xml:space="preserve">Confidential (client fee terms)</t>
  </si>
  <si>
    <t xml:space="preserve">Deviation flags + draft adjustment memos</t>
  </si>
  <si>
    <t xml:space="preserve">Fee math entirely in code; extracted schedules human-verified at setup; adjustments through maker-checker</t>
  </si>
  <si>
    <t xml:space="preserve">Same two-phase shape as covenant monitor: verified extraction once, deterministic comparison forever</t>
  </si>
  <si>
    <t xml:space="preserve">Trust synoptic (docs, state law, side letters)</t>
  </si>
  <si>
    <t xml:space="preserve">Multi-corpus RAG (trust docs + state law + side letters + transactions) + verifier chain on every conclusion</t>
  </si>
  <si>
    <t xml:space="preserve">Confidential (fiduciary)</t>
  </si>
  <si>
    <t xml:space="preserve">Analysis briefs for counsel/officer review</t>
  </si>
  <si>
    <t xml:space="preserve">Verifier confirms every permissibility statement against source spans; output framed as analysis, never a ruling; counsel disposes</t>
  </si>
  <si>
    <t xml:space="preserve">The heavyweight: needs mature multi-corpus retrieval + verifier chain; fiduciary conclusions stay with humans permanently</t>
  </si>
  <si>
    <t xml:space="preserve">Fiduciary calendar &amp; deadline manager</t>
  </si>
  <si>
    <t xml:space="preserve">Dual-sourced deadlines (statutory rules table + document extraction) + discrepancy flagging + evidence capture</t>
  </si>
  <si>
    <t xml:space="preserve">Deadline calendar with audit evidence</t>
  </si>
  <si>
    <t xml:space="preserve">Statutory deadlines from a maintained rules table; document-driven dates extracted and human-confirmed; discrepancies flag, never auto-resolve</t>
  </si>
  <si>
    <t xml:space="preserve">A missed statutory deadline is a fiduciary breach: the rules table is the system of record, extraction is the cross-check</t>
  </si>
  <si>
    <t xml:space="preserve">The Six Archetypes</t>
  </si>
  <si>
    <t xml:space="preserve">Build these six stacks once on shared platform services; every use case is a configuration of one (sometimes two).</t>
  </si>
  <si>
    <t xml:space="preserve">ID</t>
  </si>
  <si>
    <t xml:space="preserve">Implementation Blueprint</t>
  </si>
  <si>
    <t xml:space="preserve">Key Design Rule</t>
  </si>
  <si>
    <t xml:space="preserve"># Primary</t>
  </si>
  <si>
    <t xml:space="preserve"># Secondary</t>
  </si>
  <si>
    <t xml:space="preserve">A1</t>
  </si>
  <si>
    <t xml:space="preserve">Extract &amp; Validate</t>
  </si>
  <si>
    <t xml:space="preserve">Prompt chaining + structured output + field-level confidence + HITL queue</t>
  </si>
  <si>
    <t xml:space="preserve">Per-document-type extraction schemas; every field carries confidence and a source span; below-threshold fields route to a human queue with the span highlighted; results land as PENDING and reach the system of record only through a gated write.</t>
  </si>
  <si>
    <t xml:space="preserve">Extracted data is never final data. Start at 100% review and ratchet to sampling only on eval evidence.</t>
  </si>
  <si>
    <t xml:space="preserve">A2</t>
  </si>
  <si>
    <t xml:space="preserve">Compare &amp; Flag</t>
  </si>
  <si>
    <t xml:space="preserve">LLM extraction + deterministic comparison engine + LLM narrative + exceptions dashboard</t>
  </si>
  <si>
    <t xml:space="preserve">The LLM maps unstructured inputs into structured form on both sides; a deterministic engine computes the diff, ratio, headroom, or coverage; the LLM drafts the variance commentary or redline citing the computed result.</t>
  </si>
  <si>
    <t xml:space="preserve">The number that flags a breach is never model-generated. Deterministic core, probabilistic edges.</t>
  </si>
  <si>
    <t xml:space="preserve">A3</t>
  </si>
  <si>
    <t xml:space="preserve">Screen &amp; Build Universe</t>
  </si>
  <si>
    <t xml:space="preserve">Airflow-native batch: pull the corpus, apply cheap deterministic filters first, run LLM classification only on survivors, and log every include/exclude decision with the marker that drove it. Reruns must reproduce.</t>
  </si>
  <si>
    <t xml:space="preserve">Exclusion errors are silent - sample and review what was screened OUT, not just what got through.</t>
  </si>
  <si>
    <t xml:space="preserve">A4</t>
  </si>
  <si>
    <t xml:space="preserve">Draft with Evidence</t>
  </si>
  <si>
    <t xml:space="preserve">RAG + template conditioning + reflection critic + HITL ownership</t>
  </si>
  <si>
    <t xml:space="preserve">Retrieval restricted to approved sources; templates as structured skeletons filled section-by-section (chained, never one mega-prompt); a critic scores each draft against a per-document-type rubric; assertions link to evidence.</t>
  </si>
  <si>
    <t xml:space="preserve">Output is always a draft a named human edits and owns. Recommendations come from approved playbooks, never free-form.</t>
  </si>
  <si>
    <t xml:space="preserve">A5</t>
  </si>
  <si>
    <t xml:space="preserve">Answer with Citations</t>
  </si>
  <si>
    <t xml:space="preserve">RAG + hybrid retrieval + entitlement filters + citation-or-silence + abstention</t>
  </si>
  <si>
    <t xml:space="preserve">Entitlements enforced inside the index query (deal-level, fund-level, client-level) - never post-filtered; hybrid retrieval with reranking; every claim cites a source span; below-threshold retrieval abstains honestly.</t>
  </si>
  <si>
    <t xml:space="preserve">A leaked context cannot be un-shown to the model: entitlement filtering happens at retrieval, structurally.</t>
  </si>
  <si>
    <t xml:space="preserve">A6</t>
  </si>
  <si>
    <t xml:space="preserve">Synthesize &amp; Remember</t>
  </si>
  <si>
    <t xml:space="preserve">Continuous/CDC ingestion + per-entity context store + scheduled re-synthesis + pinned facts</t>
  </si>
  <si>
    <t xml:space="preserve">CDC-style ingestion from each source into a per-client or per-ticker store; scheduled re-synthesis (cost + consistency) rather than on-demand; pinned facts preserve sensitivities and standing instructions through compaction.</t>
  </si>
  <si>
    <t xml:space="preserve">The memory store inherits the highest classification of anything in it; retention and deletion must propagate to it.</t>
  </si>
  <si>
    <t xml:space="preserve">Risk Tiers &amp; Control Sets</t>
  </si>
  <si>
    <t xml:space="preserve">The tier decides autonomy and controls. Tier assignment is reviewed at intake and re-confirmed at every material change.</t>
  </si>
  <si>
    <t xml:space="preserve">Definition</t>
  </si>
  <si>
    <t xml:space="preserve">Required Controls</t>
  </si>
  <si>
    <t xml:space="preserve"># Use Cases</t>
  </si>
  <si>
    <t xml:space="preserve">Touches client money, tax/regulatory filings, funding instructions, or fiduciary conclusions. A wrong output has direct legal, financial, or fiduciary consequence.</t>
  </si>
  <si>
    <t xml:space="preserve">Propose-only, permanently. Promotion out of propose-only is an MRM event requiring independent validation - it is never a product decision.</t>
  </si>
  <si>
    <t xml:space="preserve">Maker-checker on every output; deterministic computation of all figures; full evidence ledger; independent model validation; immutable WORM audit trail; rehearsed kill switch; shadow period before launch.</t>
  </si>
  <si>
    <t xml:space="preserve">Client-facing content, client PII, regulated monitoring, or inputs to client decisions. Errors are damaging but reviewable before harm.</t>
  </si>
  <si>
    <t xml:space="preserve">Execute with approval: a named human reviews and releases every output (or every consequential output).</t>
  </si>
  <si>
    <t xml:space="preserve">HITL approval queue with evidence display; entitlement-filtered retrieval; golden-set CI gates; output guardrails + PII scan; full trace; quarterly eval review.</t>
  </si>
  <si>
    <t xml:space="preserve">Internal productivity and research with reversible outputs reviewed in normal workflow.</t>
  </si>
  <si>
    <t xml:space="preserve">Execute with sampled review: outputs flow, a defined sample is quality-reviewed, and rates are monitored.</t>
  </si>
  <si>
    <t xml:space="preserve">Sampled QC with defined rates; standard guardrails and tracing; cost budgets; drift monitoring; normal SDLC ownership.</t>
  </si>
  <si>
    <t xml:space="preserve">Sequencing Roadmap</t>
  </si>
  <si>
    <t xml:space="preserve">Capability compounds: each wave's exit criteria are the next wave's foundation.</t>
  </si>
  <si>
    <t xml:space="preserve">Timeline</t>
  </si>
  <si>
    <t xml:space="preserve">Theme</t>
  </si>
  <si>
    <t xml:space="preserve">Entry Criteria</t>
  </si>
  <si>
    <t xml:space="preserve">Exit Criteria</t>
  </si>
  <si>
    <t xml:space="preserve">0-3 months</t>
  </si>
  <si>
    <t xml:space="preserve">Internal trust-builders: drafts-only, high volume, low blast radius (notetaker, SDLC docs, investor copilot, CPMS search).</t>
  </si>
  <si>
    <t xml:space="preserve">Gateway MVP + audit store + eval harness live; risk-tiering intake operating.</t>
  </si>
  <si>
    <t xml:space="preserve">Measured lift vs. baseline on each; guardrails tuned on real traffic; user adoption and override rates reported.</t>
  </si>
  <si>
    <t xml:space="preserve">3-6 months</t>
  </si>
  <si>
    <t xml:space="preserve">Evidence-drafting and screening at scale: deterministic cores proven (spreading, N-2 screener, IC memos, conformance checker, harmonization, daily reporting, tagging, KPI benchmarker, research aggregation, landscape sections, VA-IM).</t>
  </si>
  <si>
    <t xml:space="preserve">A1/A2/A3/A4 archetype services productized; HITL queue service live; per-use-case golden sets.</t>
  </si>
  <si>
    <t xml:space="preserve">Second use case in an archetype ships in weeks; deterministic-core pattern validated by reconciliation; cost per outcome tracked.</t>
  </si>
  <si>
    <t xml:space="preserve">6-12 months</t>
  </si>
  <si>
    <t xml:space="preserve">Regulated monitoring &amp; client-sensitive systems (covenant monitor, fee compliance, collections, ADR reclaims, K-1 drafting, charitable giving, relationship memory, fiduciary calendar).</t>
  </si>
  <si>
    <t xml:space="preserve">MRM validation process exercised; maker-checker tooling mature; memory-store governance (retention/deletion) approved.</t>
  </si>
  <si>
    <t xml:space="preserve">Zero unreviewed Tier 1/2 outputs released; examiner-ready evidence pack produced for at least one system; incident runbook rehearsed.</t>
  </si>
  <si>
    <t xml:space="preserve">12+ months</t>
  </si>
  <si>
    <t xml:space="preserve">Fiduciary &amp; funding-critical (trust synoptic, term sheet-to-booking): mature platform, permanent propose-only posture.</t>
  </si>
  <si>
    <t xml:space="preserve">Multi-corpus retrieval + verifier chains proven; W3 systems stable through at least one audit/exam cycle.</t>
  </si>
  <si>
    <t xml:space="preserve">Counsel/Ops adoption with documented time savings; verifier precision evidenced; standing MRM revalidation cadence.</t>
  </si>
  <si>
    <t xml:space="preserve">Shared Platform Services</t>
  </si>
  <si>
    <t xml:space="preserve">Build once, consumed by every archetype. The platform is why use case #7 ships in weeks.</t>
  </si>
  <si>
    <t xml:space="preserve">Service</t>
  </si>
  <si>
    <t xml:space="preserve">What it provides</t>
  </si>
  <si>
    <t xml:space="preserve">Consumed by archetypes</t>
  </si>
  <si>
    <t xml:space="preserve">Build wave</t>
  </si>
  <si>
    <t xml:space="preserve">Model gateway</t>
  </si>
  <si>
    <t xml:space="preserve">Routing, fallback, quotas/budgets, data-class topology enforcement, provider abstraction, kill switch per use case.</t>
  </si>
  <si>
    <t xml:space="preserve">All</t>
  </si>
  <si>
    <t xml:space="preserve">Audit &amp; trace store</t>
  </si>
  <si>
    <t xml:space="preserve">Immutable (WORM-style) capture of prompts, retrievals, tool calls, model versions, approvals; replayable per examiner request.</t>
  </si>
  <si>
    <t xml:space="preserve">Eval harness</t>
  </si>
  <si>
    <t xml:space="preserve">Golden-set management, rubric scoring, LLM-judge calibration, trajectory evals, CI gates.</t>
  </si>
  <si>
    <t xml:space="preserve">Document ingestion &amp; extraction</t>
  </si>
  <si>
    <t xml:space="preserve">Parsing, chunking, per-type extraction schemas, field-level confidence scoring.</t>
  </si>
  <si>
    <t xml:space="preserve">A1, A2, A3</t>
  </si>
  <si>
    <t xml:space="preserve">Entitlement-aware RAG service</t>
  </si>
  <si>
    <t xml:space="preserve">Hybrid retrieval + reranking with deal/fund/client entitlements enforced in the index query; citation spans.</t>
  </si>
  <si>
    <t xml:space="preserve">A4, A5, A6</t>
  </si>
  <si>
    <t xml:space="preserve">W1-W2</t>
  </si>
  <si>
    <t xml:space="preserve">Deterministic comparison engine</t>
  </si>
  <si>
    <t xml:space="preserve">Ratio, headroom, fee, coverage, and deadline computation as validated code with versioned rule sets.</t>
  </si>
  <si>
    <t xml:space="preserve">A2, A3</t>
  </si>
  <si>
    <t xml:space="preserve">Template drafting service</t>
  </si>
  <si>
    <t xml:space="preserve">Skeleton-based section drafting, tone conditioning, reflection critic with per-doc-type rubrics.</t>
  </si>
  <si>
    <t xml:space="preserve">HITL queue &amp; maker-checker</t>
  </si>
  <si>
    <t xml:space="preserve">Approval queues displaying the evidence ledger; identity-logged sign-off; auto-expiry; sampling mode.</t>
  </si>
  <si>
    <t xml:space="preserve">All (mandatory A1/Tier 1-2)</t>
  </si>
  <si>
    <t xml:space="preserve">Batch scheduler (Airflow)</t>
  </si>
  <si>
    <t xml:space="preserve">Scheduled pipelines for screening, monitoring runs, and re-synthesis; freshness SLAs; loud failure.</t>
  </si>
  <si>
    <t xml:space="preserve">A2, A3, A6</t>
  </si>
  <si>
    <t xml:space="preserve">Existing</t>
  </si>
  <si>
    <t xml:space="preserve">Entity context / memory store</t>
  </si>
  <si>
    <t xml:space="preserve">Per-client/per-ticker stores with pinned facts, retention &amp; deletion propagation, classification-inherited access.</t>
  </si>
  <si>
    <t xml:space="preserve">A6 (A4/A5 read)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</si>
</sst>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1B4B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1"/>
      <color rgb="FF4F46E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1B4B"/>
        <bgColor rgb="FF003366"/>
      </patternFill>
    </fill>
    <fill>
      <patternFill patternType="solid">
        <fgColor rgb="FFEEF2FF"/>
        <bgColor rgb="FFFFFFFF"/>
      </patternFill>
    </fill>
    <fill>
      <patternFill patternType="solid">
        <fgColor rgb="FFFDE2E2"/>
        <bgColor rgb="FFFEF3C7"/>
      </patternFill>
    </fill>
    <fill>
      <patternFill patternType="solid">
        <fgColor rgb="FFFEF3C7"/>
        <bgColor rgb="FFFDE2E2"/>
      </patternFill>
    </fill>
    <fill>
      <patternFill patternType="solid">
        <fgColor rgb="FFDCFCE7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E1B4B"/>
          <bgColor rgb="FF000000"/>
        </patternFill>
      </fill>
    </dxf>
    <dxf>
      <fill>
        <patternFill patternType="solid">
          <fgColor rgb="FFEEF2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DE2E2"/>
          <bgColor rgb="FF000000"/>
        </patternFill>
      </fill>
    </dxf>
    <dxf>
      <fill>
        <patternFill patternType="solid">
          <fgColor rgb="FFFEF3C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CCFFCC"/>
      <rgbColor rgb="FFFFFF99"/>
      <rgbColor rgb="FF99CCFF"/>
      <rgbColor rgb="FFFF99CC"/>
      <rgbColor rgb="FFCC99FF"/>
      <rgbColor rgb="FFFDE2E2"/>
      <rgbColor rgb="FF4F46E5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5" min="4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5" t="n">
        <f aca="false">COUNTIF('Use Case Mapping'!$D$5:$D$29,A6)</f>
        <v>5</v>
      </c>
      <c r="C6" s="5" t="n">
        <f aca="false">COUNTIF('Use Case Mapping'!$E$5:$E$29,A6)</f>
        <v>5</v>
      </c>
    </row>
    <row r="7" customFormat="false" ht="15" hidden="false" customHeight="false" outlineLevel="0" collapsed="false">
      <c r="A7" s="6" t="s">
        <v>7</v>
      </c>
      <c r="B7" s="6" t="n">
        <f aca="false">COUNTIF('Use Case Mapping'!$D$5:$D$29,A7)</f>
        <v>5</v>
      </c>
      <c r="C7" s="6" t="n">
        <f aca="false">COUNTIF('Use Case Mapping'!$E$5:$E$29,A7)</f>
        <v>4</v>
      </c>
    </row>
    <row r="8" customFormat="false" ht="15" hidden="false" customHeight="false" outlineLevel="0" collapsed="false">
      <c r="A8" s="5" t="s">
        <v>8</v>
      </c>
      <c r="B8" s="5" t="n">
        <f aca="false">COUNTIF('Use Case Mapping'!$D$5:$D$29,A8)</f>
        <v>2</v>
      </c>
      <c r="C8" s="5" t="n">
        <f aca="false">COUNTIF('Use Case Mapping'!$E$5:$E$29,A8)</f>
        <v>0</v>
      </c>
    </row>
    <row r="9" customFormat="false" ht="15" hidden="false" customHeight="false" outlineLevel="0" collapsed="false">
      <c r="A9" s="6" t="s">
        <v>9</v>
      </c>
      <c r="B9" s="6" t="n">
        <f aca="false">COUNTIF('Use Case Mapping'!$D$5:$D$29,A9)</f>
        <v>7</v>
      </c>
      <c r="C9" s="6" t="n">
        <f aca="false">COUNTIF('Use Case Mapping'!$E$5:$E$29,A9)</f>
        <v>5</v>
      </c>
    </row>
    <row r="10" customFormat="false" ht="15" hidden="false" customHeight="false" outlineLevel="0" collapsed="false">
      <c r="A10" s="5" t="s">
        <v>10</v>
      </c>
      <c r="B10" s="5" t="n">
        <f aca="false">COUNTIF('Use Case Mapping'!$D$5:$D$29,A10)</f>
        <v>4</v>
      </c>
      <c r="C10" s="5" t="n">
        <f aca="false">COUNTIF('Use Case Mapping'!$E$5:$E$29,A10)</f>
        <v>1</v>
      </c>
    </row>
    <row r="11" customFormat="false" ht="15" hidden="false" customHeight="false" outlineLevel="0" collapsed="false">
      <c r="A11" s="6" t="s">
        <v>11</v>
      </c>
      <c r="B11" s="6" t="n">
        <f aca="false">COUNTIF('Use Case Mapping'!$D$5:$D$29,A11)</f>
        <v>2</v>
      </c>
      <c r="C11" s="6" t="n">
        <f aca="false">COUNTIF('Use Case Mapping'!$E$5:$E$29,A11)</f>
        <v>1</v>
      </c>
    </row>
    <row r="12" customFormat="false" ht="15" hidden="false" customHeight="false" outlineLevel="0" collapsed="false">
      <c r="A12" s="7" t="s">
        <v>12</v>
      </c>
      <c r="B12" s="7" t="n">
        <f aca="false">SUM(B6:B11)</f>
        <v>25</v>
      </c>
      <c r="C12" s="7" t="n">
        <f aca="false">SUM(C6:C11)</f>
        <v>16</v>
      </c>
    </row>
    <row r="15" customFormat="false" ht="15" hidden="false" customHeight="false" outlineLevel="0" collapsed="false">
      <c r="A15" s="3" t="s">
        <v>13</v>
      </c>
      <c r="D15" s="3" t="s">
        <v>14</v>
      </c>
    </row>
    <row r="16" customFormat="false" ht="15" hidden="false" customHeight="false" outlineLevel="0" collapsed="false">
      <c r="A16" s="4" t="s">
        <v>15</v>
      </c>
      <c r="B16" s="4" t="s">
        <v>16</v>
      </c>
      <c r="D16" s="8" t="s">
        <v>17</v>
      </c>
      <c r="E16" s="8" t="s">
        <v>16</v>
      </c>
    </row>
    <row r="17" customFormat="false" ht="15" hidden="false" customHeight="false" outlineLevel="0" collapsed="false">
      <c r="A17" s="9" t="s">
        <v>18</v>
      </c>
      <c r="B17" s="5" t="n">
        <f aca="false">COUNTIF('Use Case Mapping'!$G$5:$G$29,A17)</f>
        <v>5</v>
      </c>
      <c r="D17" s="10" t="s">
        <v>19</v>
      </c>
      <c r="E17" s="11" t="n">
        <f aca="false">COUNTIF('Use Case Mapping'!$I$5:$I$29,D17)</f>
        <v>4</v>
      </c>
    </row>
    <row r="18" customFormat="false" ht="15" hidden="false" customHeight="false" outlineLevel="0" collapsed="false">
      <c r="A18" s="12" t="s">
        <v>20</v>
      </c>
      <c r="B18" s="5" t="n">
        <f aca="false">COUNTIF('Use Case Mapping'!$G$5:$G$29,A18)</f>
        <v>13</v>
      </c>
      <c r="D18" s="10" t="s">
        <v>21</v>
      </c>
      <c r="E18" s="11" t="n">
        <f aca="false">COUNTIF('Use Case Mapping'!$I$5:$I$29,D18)</f>
        <v>11</v>
      </c>
    </row>
    <row r="19" customFormat="false" ht="15" hidden="false" customHeight="false" outlineLevel="0" collapsed="false">
      <c r="A19" s="13" t="s">
        <v>22</v>
      </c>
      <c r="B19" s="5" t="n">
        <f aca="false">COUNTIF('Use Case Mapping'!$G$5:$G$29,A19)</f>
        <v>7</v>
      </c>
      <c r="D19" s="10" t="s">
        <v>23</v>
      </c>
      <c r="E19" s="11" t="n">
        <f aca="false">COUNTIF('Use Case Mapping'!$I$5:$I$29,D19)</f>
        <v>8</v>
      </c>
    </row>
    <row r="20" customFormat="false" ht="15" hidden="false" customHeight="false" outlineLevel="0" collapsed="false">
      <c r="D20" s="10" t="s">
        <v>24</v>
      </c>
      <c r="E20" s="11" t="n">
        <f aca="false">COUNTIF('Use Case Mapping'!$I$5:$I$29,D20)</f>
        <v>2</v>
      </c>
    </row>
    <row r="22" customFormat="false" ht="15" hidden="false" customHeight="false" outlineLevel="0" collapsed="false">
      <c r="A22" s="3" t="s">
        <v>25</v>
      </c>
    </row>
    <row r="23" customFormat="false" ht="15" hidden="false" customHeight="false" outlineLevel="0" collapsed="false">
      <c r="A23" s="14" t="s">
        <v>26</v>
      </c>
    </row>
    <row r="24" customFormat="false" ht="15" hidden="false" customHeight="false" outlineLevel="0" collapsed="false">
      <c r="A24" s="14" t="s">
        <v>27</v>
      </c>
    </row>
    <row r="25" customFormat="false" ht="15" hidden="false" customHeight="false" outlineLevel="0" collapsed="false">
      <c r="A25" s="14" t="s">
        <v>28</v>
      </c>
    </row>
    <row r="26" customFormat="false" ht="15" hidden="false" customHeight="false" outlineLevel="0" collapsed="false">
      <c r="A26" s="14" t="s">
        <v>29</v>
      </c>
    </row>
    <row r="27" customFormat="false" ht="15" hidden="false" customHeight="false" outlineLevel="0" collapsed="false">
      <c r="A27" s="1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5" min="4" style="0" width="17"/>
    <col collapsed="false" customWidth="true" hidden="false" outlineLevel="0" max="6" min="6" style="0" width="34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9" min="9" style="0" width="7"/>
    <col collapsed="false" customWidth="true" hidden="false" outlineLevel="0" max="10" min="10" style="0" width="20"/>
    <col collapsed="false" customWidth="true" hidden="false" outlineLevel="0" max="11" min="11" style="0" width="26"/>
    <col collapsed="false" customWidth="true" hidden="false" outlineLevel="0" max="12" min="12" style="0" width="38"/>
    <col collapsed="false" customWidth="true" hidden="false" outlineLevel="0" max="13" min="13" style="0" width="42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23.85" hidden="false" customHeight="false" outlineLevel="0" collapsed="false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17</v>
      </c>
      <c r="J4" s="4" t="s">
        <v>41</v>
      </c>
      <c r="K4" s="4" t="s">
        <v>42</v>
      </c>
      <c r="L4" s="4" t="s">
        <v>43</v>
      </c>
      <c r="M4" s="4" t="s">
        <v>44</v>
      </c>
    </row>
    <row r="5" customFormat="false" ht="35.05" hidden="false" customHeight="false" outlineLevel="0" collapsed="false">
      <c r="A5" s="15" t="n">
        <v>1</v>
      </c>
      <c r="B5" s="5" t="s">
        <v>45</v>
      </c>
      <c r="C5" s="7" t="s">
        <v>46</v>
      </c>
      <c r="D5" s="5" t="s">
        <v>6</v>
      </c>
      <c r="E5" s="5" t="s">
        <v>7</v>
      </c>
      <c r="F5" s="5" t="s">
        <v>47</v>
      </c>
      <c r="G5" s="16" t="s">
        <v>18</v>
      </c>
      <c r="H5" s="5" t="s">
        <v>48</v>
      </c>
      <c r="I5" s="15" t="s">
        <v>24</v>
      </c>
      <c r="J5" s="5" t="s">
        <v>49</v>
      </c>
      <c r="K5" s="5" t="s">
        <v>50</v>
      </c>
      <c r="L5" s="5" t="s">
        <v>51</v>
      </c>
      <c r="M5" s="5" t="s">
        <v>52</v>
      </c>
    </row>
    <row r="6" customFormat="false" ht="35.05" hidden="false" customHeight="false" outlineLevel="0" collapsed="false">
      <c r="A6" s="17" t="n">
        <v>2</v>
      </c>
      <c r="B6" s="6" t="s">
        <v>45</v>
      </c>
      <c r="C6" s="18" t="s">
        <v>53</v>
      </c>
      <c r="D6" s="6" t="s">
        <v>7</v>
      </c>
      <c r="E6" s="6" t="s">
        <v>6</v>
      </c>
      <c r="F6" s="6" t="s">
        <v>54</v>
      </c>
      <c r="G6" s="19" t="s">
        <v>20</v>
      </c>
      <c r="H6" s="6" t="s">
        <v>55</v>
      </c>
      <c r="I6" s="17" t="s">
        <v>21</v>
      </c>
      <c r="J6" s="6" t="s">
        <v>56</v>
      </c>
      <c r="K6" s="6" t="s">
        <v>57</v>
      </c>
      <c r="L6" s="6" t="s">
        <v>58</v>
      </c>
      <c r="M6" s="6" t="s">
        <v>59</v>
      </c>
    </row>
    <row r="7" customFormat="false" ht="35.05" hidden="false" customHeight="false" outlineLevel="0" collapsed="false">
      <c r="A7" s="15" t="n">
        <v>3</v>
      </c>
      <c r="B7" s="5" t="s">
        <v>45</v>
      </c>
      <c r="C7" s="7" t="s">
        <v>60</v>
      </c>
      <c r="D7" s="5" t="s">
        <v>7</v>
      </c>
      <c r="E7" s="5" t="s">
        <v>9</v>
      </c>
      <c r="F7" s="5" t="s">
        <v>61</v>
      </c>
      <c r="G7" s="19" t="s">
        <v>20</v>
      </c>
      <c r="H7" s="5" t="s">
        <v>55</v>
      </c>
      <c r="I7" s="15" t="s">
        <v>23</v>
      </c>
      <c r="J7" s="5" t="s">
        <v>62</v>
      </c>
      <c r="K7" s="5" t="s">
        <v>63</v>
      </c>
      <c r="L7" s="5" t="s">
        <v>64</v>
      </c>
      <c r="M7" s="5" t="s">
        <v>65</v>
      </c>
    </row>
    <row r="8" customFormat="false" ht="35.05" hidden="false" customHeight="false" outlineLevel="0" collapsed="false">
      <c r="A8" s="17" t="n">
        <v>4</v>
      </c>
      <c r="B8" s="6" t="s">
        <v>66</v>
      </c>
      <c r="C8" s="18" t="s">
        <v>67</v>
      </c>
      <c r="D8" s="6" t="s">
        <v>10</v>
      </c>
      <c r="E8" s="6"/>
      <c r="F8" s="6" t="s">
        <v>68</v>
      </c>
      <c r="G8" s="19" t="s">
        <v>20</v>
      </c>
      <c r="H8" s="6" t="s">
        <v>55</v>
      </c>
      <c r="I8" s="17" t="s">
        <v>21</v>
      </c>
      <c r="J8" s="6" t="s">
        <v>69</v>
      </c>
      <c r="K8" s="6" t="s">
        <v>70</v>
      </c>
      <c r="L8" s="6" t="s">
        <v>71</v>
      </c>
      <c r="M8" s="6" t="s">
        <v>72</v>
      </c>
    </row>
    <row r="9" customFormat="false" ht="46.25" hidden="false" customHeight="false" outlineLevel="0" collapsed="false">
      <c r="A9" s="15" t="n">
        <v>5</v>
      </c>
      <c r="B9" s="5" t="s">
        <v>66</v>
      </c>
      <c r="C9" s="7" t="s">
        <v>73</v>
      </c>
      <c r="D9" s="5" t="s">
        <v>6</v>
      </c>
      <c r="E9" s="5" t="s">
        <v>7</v>
      </c>
      <c r="F9" s="5" t="s">
        <v>74</v>
      </c>
      <c r="G9" s="19" t="s">
        <v>20</v>
      </c>
      <c r="H9" s="5" t="s">
        <v>55</v>
      </c>
      <c r="I9" s="15" t="s">
        <v>23</v>
      </c>
      <c r="J9" s="5" t="s">
        <v>75</v>
      </c>
      <c r="K9" s="5" t="s">
        <v>76</v>
      </c>
      <c r="L9" s="5" t="s">
        <v>77</v>
      </c>
      <c r="M9" s="5" t="s">
        <v>78</v>
      </c>
    </row>
    <row r="10" customFormat="false" ht="35.05" hidden="false" customHeight="false" outlineLevel="0" collapsed="false">
      <c r="A10" s="17" t="n">
        <v>6</v>
      </c>
      <c r="B10" s="6" t="s">
        <v>66</v>
      </c>
      <c r="C10" s="18" t="s">
        <v>79</v>
      </c>
      <c r="D10" s="6" t="s">
        <v>6</v>
      </c>
      <c r="E10" s="6"/>
      <c r="F10" s="6" t="s">
        <v>80</v>
      </c>
      <c r="G10" s="19" t="s">
        <v>20</v>
      </c>
      <c r="H10" s="6" t="s">
        <v>55</v>
      </c>
      <c r="I10" s="17" t="s">
        <v>21</v>
      </c>
      <c r="J10" s="6" t="s">
        <v>81</v>
      </c>
      <c r="K10" s="6" t="s">
        <v>82</v>
      </c>
      <c r="L10" s="6" t="s">
        <v>83</v>
      </c>
      <c r="M10" s="6" t="s">
        <v>84</v>
      </c>
    </row>
    <row r="11" customFormat="false" ht="35.05" hidden="false" customHeight="false" outlineLevel="0" collapsed="false">
      <c r="A11" s="15" t="n">
        <v>7</v>
      </c>
      <c r="B11" s="5" t="s">
        <v>85</v>
      </c>
      <c r="C11" s="7" t="s">
        <v>86</v>
      </c>
      <c r="D11" s="5" t="s">
        <v>6</v>
      </c>
      <c r="E11" s="5" t="s">
        <v>9</v>
      </c>
      <c r="F11" s="5" t="s">
        <v>87</v>
      </c>
      <c r="G11" s="16" t="s">
        <v>18</v>
      </c>
      <c r="H11" s="5" t="s">
        <v>48</v>
      </c>
      <c r="I11" s="15" t="s">
        <v>23</v>
      </c>
      <c r="J11" s="5" t="s">
        <v>88</v>
      </c>
      <c r="K11" s="5" t="s">
        <v>89</v>
      </c>
      <c r="L11" s="5" t="s">
        <v>90</v>
      </c>
      <c r="M11" s="5" t="s">
        <v>91</v>
      </c>
    </row>
    <row r="12" customFormat="false" ht="35.05" hidden="false" customHeight="false" outlineLevel="0" collapsed="false">
      <c r="A12" s="17" t="n">
        <v>8</v>
      </c>
      <c r="B12" s="6" t="s">
        <v>85</v>
      </c>
      <c r="C12" s="18" t="s">
        <v>92</v>
      </c>
      <c r="D12" s="6" t="s">
        <v>8</v>
      </c>
      <c r="E12" s="6"/>
      <c r="F12" s="6" t="s">
        <v>93</v>
      </c>
      <c r="G12" s="20" t="s">
        <v>22</v>
      </c>
      <c r="H12" s="6" t="s">
        <v>94</v>
      </c>
      <c r="I12" s="17" t="s">
        <v>21</v>
      </c>
      <c r="J12" s="6" t="s">
        <v>95</v>
      </c>
      <c r="K12" s="6" t="s">
        <v>96</v>
      </c>
      <c r="L12" s="6" t="s">
        <v>97</v>
      </c>
      <c r="M12" s="6" t="s">
        <v>98</v>
      </c>
    </row>
    <row r="13" customFormat="false" ht="35.05" hidden="false" customHeight="false" outlineLevel="0" collapsed="false">
      <c r="A13" s="15" t="n">
        <v>9</v>
      </c>
      <c r="B13" s="5" t="s">
        <v>99</v>
      </c>
      <c r="C13" s="7" t="s">
        <v>100</v>
      </c>
      <c r="D13" s="5" t="s">
        <v>9</v>
      </c>
      <c r="E13" s="5" t="s">
        <v>6</v>
      </c>
      <c r="F13" s="5" t="s">
        <v>101</v>
      </c>
      <c r="G13" s="16" t="s">
        <v>18</v>
      </c>
      <c r="H13" s="5" t="s">
        <v>48</v>
      </c>
      <c r="I13" s="15" t="s">
        <v>23</v>
      </c>
      <c r="J13" s="5" t="s">
        <v>102</v>
      </c>
      <c r="K13" s="5" t="s">
        <v>103</v>
      </c>
      <c r="L13" s="5" t="s">
        <v>104</v>
      </c>
      <c r="M13" s="5" t="s">
        <v>105</v>
      </c>
    </row>
    <row r="14" customFormat="false" ht="35.05" hidden="false" customHeight="false" outlineLevel="0" collapsed="false">
      <c r="A14" s="17" t="n">
        <v>10</v>
      </c>
      <c r="B14" s="6" t="s">
        <v>99</v>
      </c>
      <c r="C14" s="18" t="s">
        <v>106</v>
      </c>
      <c r="D14" s="6" t="s">
        <v>10</v>
      </c>
      <c r="E14" s="6" t="s">
        <v>9</v>
      </c>
      <c r="F14" s="6" t="s">
        <v>107</v>
      </c>
      <c r="G14" s="19" t="s">
        <v>20</v>
      </c>
      <c r="H14" s="6" t="s">
        <v>55</v>
      </c>
      <c r="I14" s="17" t="s">
        <v>19</v>
      </c>
      <c r="J14" s="6" t="s">
        <v>108</v>
      </c>
      <c r="K14" s="6" t="s">
        <v>109</v>
      </c>
      <c r="L14" s="6" t="s">
        <v>110</v>
      </c>
      <c r="M14" s="6" t="s">
        <v>111</v>
      </c>
    </row>
    <row r="15" customFormat="false" ht="35.05" hidden="false" customHeight="false" outlineLevel="0" collapsed="false">
      <c r="A15" s="15" t="n">
        <v>11</v>
      </c>
      <c r="B15" s="5" t="s">
        <v>112</v>
      </c>
      <c r="C15" s="7" t="s">
        <v>113</v>
      </c>
      <c r="D15" s="5" t="s">
        <v>7</v>
      </c>
      <c r="E15" s="5" t="s">
        <v>6</v>
      </c>
      <c r="F15" s="5" t="s">
        <v>114</v>
      </c>
      <c r="G15" s="20" t="s">
        <v>22</v>
      </c>
      <c r="H15" s="5" t="s">
        <v>94</v>
      </c>
      <c r="I15" s="15" t="s">
        <v>21</v>
      </c>
      <c r="J15" s="5" t="s">
        <v>115</v>
      </c>
      <c r="K15" s="5" t="s">
        <v>116</v>
      </c>
      <c r="L15" s="5" t="s">
        <v>117</v>
      </c>
      <c r="M15" s="5" t="s">
        <v>118</v>
      </c>
    </row>
    <row r="16" customFormat="false" ht="35.05" hidden="false" customHeight="false" outlineLevel="0" collapsed="false">
      <c r="A16" s="17" t="n">
        <v>12</v>
      </c>
      <c r="B16" s="6" t="s">
        <v>112</v>
      </c>
      <c r="C16" s="18" t="s">
        <v>119</v>
      </c>
      <c r="D16" s="6" t="s">
        <v>10</v>
      </c>
      <c r="E16" s="6"/>
      <c r="F16" s="6" t="s">
        <v>120</v>
      </c>
      <c r="G16" s="20" t="s">
        <v>22</v>
      </c>
      <c r="H16" s="6" t="s">
        <v>94</v>
      </c>
      <c r="I16" s="17" t="s">
        <v>19</v>
      </c>
      <c r="J16" s="6" t="s">
        <v>121</v>
      </c>
      <c r="K16" s="6" t="s">
        <v>122</v>
      </c>
      <c r="L16" s="6" t="s">
        <v>123</v>
      </c>
      <c r="M16" s="6" t="s">
        <v>124</v>
      </c>
    </row>
    <row r="17" customFormat="false" ht="46.25" hidden="false" customHeight="false" outlineLevel="0" collapsed="false">
      <c r="A17" s="15" t="n">
        <v>13</v>
      </c>
      <c r="B17" s="5" t="s">
        <v>125</v>
      </c>
      <c r="C17" s="7" t="s">
        <v>126</v>
      </c>
      <c r="D17" s="5" t="s">
        <v>9</v>
      </c>
      <c r="E17" s="5" t="s">
        <v>7</v>
      </c>
      <c r="F17" s="5" t="s">
        <v>127</v>
      </c>
      <c r="G17" s="19" t="s">
        <v>20</v>
      </c>
      <c r="H17" s="5" t="s">
        <v>55</v>
      </c>
      <c r="I17" s="15" t="s">
        <v>21</v>
      </c>
      <c r="J17" s="5" t="s">
        <v>62</v>
      </c>
      <c r="K17" s="5" t="s">
        <v>128</v>
      </c>
      <c r="L17" s="5" t="s">
        <v>129</v>
      </c>
      <c r="M17" s="5" t="s">
        <v>130</v>
      </c>
    </row>
    <row r="18" customFormat="false" ht="35.05" hidden="false" customHeight="false" outlineLevel="0" collapsed="false">
      <c r="A18" s="17" t="n">
        <v>14</v>
      </c>
      <c r="B18" s="6" t="s">
        <v>125</v>
      </c>
      <c r="C18" s="18" t="s">
        <v>131</v>
      </c>
      <c r="D18" s="6" t="s">
        <v>9</v>
      </c>
      <c r="E18" s="6" t="s">
        <v>7</v>
      </c>
      <c r="F18" s="6" t="s">
        <v>132</v>
      </c>
      <c r="G18" s="19" t="s">
        <v>20</v>
      </c>
      <c r="H18" s="6" t="s">
        <v>55</v>
      </c>
      <c r="I18" s="17" t="s">
        <v>23</v>
      </c>
      <c r="J18" s="6" t="s">
        <v>133</v>
      </c>
      <c r="K18" s="6" t="s">
        <v>134</v>
      </c>
      <c r="L18" s="6" t="s">
        <v>135</v>
      </c>
      <c r="M18" s="6" t="s">
        <v>136</v>
      </c>
    </row>
    <row r="19" customFormat="false" ht="46.25" hidden="false" customHeight="false" outlineLevel="0" collapsed="false">
      <c r="A19" s="15" t="n">
        <v>15</v>
      </c>
      <c r="B19" s="5" t="s">
        <v>125</v>
      </c>
      <c r="C19" s="7" t="s">
        <v>137</v>
      </c>
      <c r="D19" s="5" t="s">
        <v>11</v>
      </c>
      <c r="E19" s="5"/>
      <c r="F19" s="5" t="s">
        <v>138</v>
      </c>
      <c r="G19" s="19" t="s">
        <v>20</v>
      </c>
      <c r="H19" s="5" t="s">
        <v>94</v>
      </c>
      <c r="I19" s="15" t="s">
        <v>23</v>
      </c>
      <c r="J19" s="5" t="s">
        <v>62</v>
      </c>
      <c r="K19" s="5" t="s">
        <v>139</v>
      </c>
      <c r="L19" s="5" t="s">
        <v>140</v>
      </c>
      <c r="M19" s="5" t="s">
        <v>141</v>
      </c>
    </row>
    <row r="20" customFormat="false" ht="35.05" hidden="false" customHeight="false" outlineLevel="0" collapsed="false">
      <c r="A20" s="17" t="n">
        <v>16</v>
      </c>
      <c r="B20" s="6" t="s">
        <v>142</v>
      </c>
      <c r="C20" s="18" t="s">
        <v>143</v>
      </c>
      <c r="D20" s="6" t="s">
        <v>7</v>
      </c>
      <c r="E20" s="6" t="s">
        <v>9</v>
      </c>
      <c r="F20" s="6" t="s">
        <v>144</v>
      </c>
      <c r="G20" s="19" t="s">
        <v>20</v>
      </c>
      <c r="H20" s="6" t="s">
        <v>55</v>
      </c>
      <c r="I20" s="17" t="s">
        <v>21</v>
      </c>
      <c r="J20" s="6" t="s">
        <v>145</v>
      </c>
      <c r="K20" s="6" t="s">
        <v>146</v>
      </c>
      <c r="L20" s="6" t="s">
        <v>147</v>
      </c>
      <c r="M20" s="6" t="s">
        <v>148</v>
      </c>
    </row>
    <row r="21" customFormat="false" ht="35.05" hidden="false" customHeight="false" outlineLevel="0" collapsed="false">
      <c r="A21" s="15" t="n">
        <v>17</v>
      </c>
      <c r="B21" s="5" t="s">
        <v>142</v>
      </c>
      <c r="C21" s="7" t="s">
        <v>149</v>
      </c>
      <c r="D21" s="5" t="s">
        <v>9</v>
      </c>
      <c r="E21" s="5"/>
      <c r="F21" s="5" t="s">
        <v>150</v>
      </c>
      <c r="G21" s="20" t="s">
        <v>22</v>
      </c>
      <c r="H21" s="5" t="s">
        <v>94</v>
      </c>
      <c r="I21" s="15" t="s">
        <v>19</v>
      </c>
      <c r="J21" s="5" t="s">
        <v>121</v>
      </c>
      <c r="K21" s="5" t="s">
        <v>151</v>
      </c>
      <c r="L21" s="5" t="s">
        <v>152</v>
      </c>
      <c r="M21" s="5" t="s">
        <v>153</v>
      </c>
    </row>
    <row r="22" customFormat="false" ht="35.05" hidden="false" customHeight="false" outlineLevel="0" collapsed="false">
      <c r="A22" s="17" t="n">
        <v>18</v>
      </c>
      <c r="B22" s="6" t="s">
        <v>142</v>
      </c>
      <c r="C22" s="18" t="s">
        <v>154</v>
      </c>
      <c r="D22" s="6" t="s">
        <v>9</v>
      </c>
      <c r="E22" s="6"/>
      <c r="F22" s="6" t="s">
        <v>155</v>
      </c>
      <c r="G22" s="20" t="s">
        <v>22</v>
      </c>
      <c r="H22" s="6" t="s">
        <v>94</v>
      </c>
      <c r="I22" s="17" t="s">
        <v>19</v>
      </c>
      <c r="J22" s="6" t="s">
        <v>121</v>
      </c>
      <c r="K22" s="6" t="s">
        <v>156</v>
      </c>
      <c r="L22" s="6" t="s">
        <v>157</v>
      </c>
      <c r="M22" s="6" t="s">
        <v>158</v>
      </c>
    </row>
    <row r="23" customFormat="false" ht="35.05" hidden="false" customHeight="false" outlineLevel="0" collapsed="false">
      <c r="A23" s="15" t="n">
        <v>19</v>
      </c>
      <c r="B23" s="5" t="s">
        <v>159</v>
      </c>
      <c r="C23" s="7" t="s">
        <v>160</v>
      </c>
      <c r="D23" s="5" t="s">
        <v>9</v>
      </c>
      <c r="E23" s="5"/>
      <c r="F23" s="5" t="s">
        <v>161</v>
      </c>
      <c r="G23" s="19" t="s">
        <v>20</v>
      </c>
      <c r="H23" s="5" t="s">
        <v>55</v>
      </c>
      <c r="I23" s="15" t="s">
        <v>21</v>
      </c>
      <c r="J23" s="5" t="s">
        <v>162</v>
      </c>
      <c r="K23" s="5" t="s">
        <v>163</v>
      </c>
      <c r="L23" s="5" t="s">
        <v>164</v>
      </c>
      <c r="M23" s="5" t="s">
        <v>165</v>
      </c>
    </row>
    <row r="24" customFormat="false" ht="35.05" hidden="false" customHeight="false" outlineLevel="0" collapsed="false">
      <c r="A24" s="17" t="n">
        <v>20</v>
      </c>
      <c r="B24" s="6" t="s">
        <v>159</v>
      </c>
      <c r="C24" s="18" t="s">
        <v>166</v>
      </c>
      <c r="D24" s="6" t="s">
        <v>9</v>
      </c>
      <c r="E24" s="6" t="s">
        <v>11</v>
      </c>
      <c r="F24" s="6" t="s">
        <v>167</v>
      </c>
      <c r="G24" s="20" t="s">
        <v>22</v>
      </c>
      <c r="H24" s="6" t="s">
        <v>94</v>
      </c>
      <c r="I24" s="17" t="s">
        <v>21</v>
      </c>
      <c r="J24" s="6" t="s">
        <v>115</v>
      </c>
      <c r="K24" s="6" t="s">
        <v>168</v>
      </c>
      <c r="L24" s="6" t="s">
        <v>169</v>
      </c>
      <c r="M24" s="6" t="s">
        <v>170</v>
      </c>
    </row>
    <row r="25" customFormat="false" ht="35.05" hidden="false" customHeight="false" outlineLevel="0" collapsed="false">
      <c r="A25" s="15" t="n">
        <v>21</v>
      </c>
      <c r="B25" s="5" t="s">
        <v>171</v>
      </c>
      <c r="C25" s="7" t="s">
        <v>172</v>
      </c>
      <c r="D25" s="5" t="s">
        <v>6</v>
      </c>
      <c r="E25" s="5"/>
      <c r="F25" s="5" t="s">
        <v>173</v>
      </c>
      <c r="G25" s="19" t="s">
        <v>20</v>
      </c>
      <c r="H25" s="5" t="s">
        <v>55</v>
      </c>
      <c r="I25" s="15" t="s">
        <v>21</v>
      </c>
      <c r="J25" s="5" t="s">
        <v>174</v>
      </c>
      <c r="K25" s="5" t="s">
        <v>175</v>
      </c>
      <c r="L25" s="5" t="s">
        <v>176</v>
      </c>
      <c r="M25" s="5" t="s">
        <v>177</v>
      </c>
    </row>
    <row r="26" customFormat="false" ht="35.05" hidden="false" customHeight="false" outlineLevel="0" collapsed="false">
      <c r="A26" s="17" t="n">
        <v>22</v>
      </c>
      <c r="B26" s="6" t="s">
        <v>171</v>
      </c>
      <c r="C26" s="18" t="s">
        <v>178</v>
      </c>
      <c r="D26" s="6" t="s">
        <v>11</v>
      </c>
      <c r="E26" s="6" t="s">
        <v>10</v>
      </c>
      <c r="F26" s="6" t="s">
        <v>179</v>
      </c>
      <c r="G26" s="20" t="s">
        <v>22</v>
      </c>
      <c r="H26" s="6" t="s">
        <v>94</v>
      </c>
      <c r="I26" s="17" t="s">
        <v>21</v>
      </c>
      <c r="J26" s="6" t="s">
        <v>180</v>
      </c>
      <c r="K26" s="6" t="s">
        <v>181</v>
      </c>
      <c r="L26" s="6" t="s">
        <v>182</v>
      </c>
      <c r="M26" s="6" t="s">
        <v>183</v>
      </c>
    </row>
    <row r="27" customFormat="false" ht="35.05" hidden="false" customHeight="false" outlineLevel="0" collapsed="false">
      <c r="A27" s="15" t="n">
        <v>23</v>
      </c>
      <c r="B27" s="5" t="s">
        <v>184</v>
      </c>
      <c r="C27" s="7" t="s">
        <v>185</v>
      </c>
      <c r="D27" s="5" t="s">
        <v>7</v>
      </c>
      <c r="E27" s="5" t="s">
        <v>6</v>
      </c>
      <c r="F27" s="5" t="s">
        <v>186</v>
      </c>
      <c r="G27" s="19" t="s">
        <v>20</v>
      </c>
      <c r="H27" s="5" t="s">
        <v>55</v>
      </c>
      <c r="I27" s="15" t="s">
        <v>23</v>
      </c>
      <c r="J27" s="5" t="s">
        <v>187</v>
      </c>
      <c r="K27" s="5" t="s">
        <v>188</v>
      </c>
      <c r="L27" s="5" t="s">
        <v>189</v>
      </c>
      <c r="M27" s="5" t="s">
        <v>190</v>
      </c>
    </row>
    <row r="28" customFormat="false" ht="35.05" hidden="false" customHeight="false" outlineLevel="0" collapsed="false">
      <c r="A28" s="17" t="n">
        <v>24</v>
      </c>
      <c r="B28" s="6" t="s">
        <v>184</v>
      </c>
      <c r="C28" s="18" t="s">
        <v>191</v>
      </c>
      <c r="D28" s="6" t="s">
        <v>10</v>
      </c>
      <c r="E28" s="6" t="s">
        <v>9</v>
      </c>
      <c r="F28" s="6" t="s">
        <v>192</v>
      </c>
      <c r="G28" s="16" t="s">
        <v>18</v>
      </c>
      <c r="H28" s="6" t="s">
        <v>48</v>
      </c>
      <c r="I28" s="17" t="s">
        <v>24</v>
      </c>
      <c r="J28" s="6" t="s">
        <v>193</v>
      </c>
      <c r="K28" s="6" t="s">
        <v>194</v>
      </c>
      <c r="L28" s="6" t="s">
        <v>195</v>
      </c>
      <c r="M28" s="6" t="s">
        <v>196</v>
      </c>
    </row>
    <row r="29" customFormat="false" ht="46.25" hidden="false" customHeight="false" outlineLevel="0" collapsed="false">
      <c r="A29" s="15" t="n">
        <v>25</v>
      </c>
      <c r="B29" s="5" t="s">
        <v>184</v>
      </c>
      <c r="C29" s="7" t="s">
        <v>197</v>
      </c>
      <c r="D29" s="5" t="s">
        <v>8</v>
      </c>
      <c r="E29" s="5" t="s">
        <v>6</v>
      </c>
      <c r="F29" s="5" t="s">
        <v>198</v>
      </c>
      <c r="G29" s="16" t="s">
        <v>18</v>
      </c>
      <c r="H29" s="5" t="s">
        <v>48</v>
      </c>
      <c r="I29" s="15" t="s">
        <v>23</v>
      </c>
      <c r="J29" s="5" t="s">
        <v>193</v>
      </c>
      <c r="K29" s="5" t="s">
        <v>199</v>
      </c>
      <c r="L29" s="5" t="s">
        <v>200</v>
      </c>
      <c r="M29" s="5" t="s">
        <v>201</v>
      </c>
    </row>
  </sheetData>
  <autoFilter ref="A4:M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1"/>
    <col collapsed="false" customWidth="true" hidden="false" outlineLevel="0" max="3" min="3" style="0" width="40"/>
    <col collapsed="false" customWidth="true" hidden="false" outlineLevel="0" max="4" min="4" style="0" width="62"/>
    <col collapsed="false" customWidth="true" hidden="false" outlineLevel="0" max="5" min="5" style="0" width="46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202</v>
      </c>
    </row>
    <row r="2" customFormat="false" ht="15" hidden="false" customHeight="false" outlineLevel="0" collapsed="false">
      <c r="A2" s="2" t="s">
        <v>203</v>
      </c>
    </row>
    <row r="4" customFormat="false" ht="15" hidden="false" customHeight="false" outlineLevel="0" collapsed="false">
      <c r="A4" s="4" t="s">
        <v>204</v>
      </c>
      <c r="B4" s="4" t="s">
        <v>3</v>
      </c>
      <c r="C4" s="4" t="s">
        <v>38</v>
      </c>
      <c r="D4" s="4" t="s">
        <v>205</v>
      </c>
      <c r="E4" s="4" t="s">
        <v>206</v>
      </c>
      <c r="F4" s="4" t="s">
        <v>207</v>
      </c>
      <c r="G4" s="4" t="s">
        <v>208</v>
      </c>
    </row>
    <row r="5" customFormat="false" ht="46.25" hidden="false" customHeight="false" outlineLevel="0" collapsed="false">
      <c r="A5" s="7" t="s">
        <v>209</v>
      </c>
      <c r="B5" s="7" t="s">
        <v>210</v>
      </c>
      <c r="C5" s="5" t="s">
        <v>211</v>
      </c>
      <c r="D5" s="5" t="s">
        <v>212</v>
      </c>
      <c r="E5" s="5" t="s">
        <v>213</v>
      </c>
      <c r="F5" s="15" t="n">
        <f aca="false">COUNTIF('Use Case Mapping'!$D$5:$D$29,"A1 *")</f>
        <v>5</v>
      </c>
      <c r="G5" s="15" t="n">
        <f aca="false">COUNTIF('Use Case Mapping'!$E$5:$E$29,"A1 *")</f>
        <v>5</v>
      </c>
    </row>
    <row r="6" customFormat="false" ht="35.05" hidden="false" customHeight="false" outlineLevel="0" collapsed="false">
      <c r="A6" s="18" t="s">
        <v>214</v>
      </c>
      <c r="B6" s="18" t="s">
        <v>215</v>
      </c>
      <c r="C6" s="6" t="s">
        <v>216</v>
      </c>
      <c r="D6" s="6" t="s">
        <v>217</v>
      </c>
      <c r="E6" s="6" t="s">
        <v>218</v>
      </c>
      <c r="F6" s="17" t="n">
        <f aca="false">COUNTIF('Use Case Mapping'!$D$5:$D$29,"A2 *")</f>
        <v>5</v>
      </c>
      <c r="G6" s="17" t="n">
        <f aca="false">COUNTIF('Use Case Mapping'!$E$5:$E$29,"A2 *")</f>
        <v>4</v>
      </c>
    </row>
    <row r="7" customFormat="false" ht="35.05" hidden="false" customHeight="false" outlineLevel="0" collapsed="false">
      <c r="A7" s="7" t="s">
        <v>219</v>
      </c>
      <c r="B7" s="7" t="s">
        <v>220</v>
      </c>
      <c r="C7" s="5" t="s">
        <v>93</v>
      </c>
      <c r="D7" s="5" t="s">
        <v>221</v>
      </c>
      <c r="E7" s="5" t="s">
        <v>222</v>
      </c>
      <c r="F7" s="15" t="n">
        <f aca="false">COUNTIF('Use Case Mapping'!$D$5:$D$29,"A3 *")</f>
        <v>2</v>
      </c>
      <c r="G7" s="15" t="n">
        <f aca="false">COUNTIF('Use Case Mapping'!$E$5:$E$29,"A3 *")</f>
        <v>0</v>
      </c>
    </row>
    <row r="8" customFormat="false" ht="35.05" hidden="false" customHeight="false" outlineLevel="0" collapsed="false">
      <c r="A8" s="18" t="s">
        <v>223</v>
      </c>
      <c r="B8" s="18" t="s">
        <v>224</v>
      </c>
      <c r="C8" s="6" t="s">
        <v>225</v>
      </c>
      <c r="D8" s="6" t="s">
        <v>226</v>
      </c>
      <c r="E8" s="6" t="s">
        <v>227</v>
      </c>
      <c r="F8" s="17" t="n">
        <f aca="false">COUNTIF('Use Case Mapping'!$D$5:$D$29,"A4 *")</f>
        <v>7</v>
      </c>
      <c r="G8" s="17" t="n">
        <f aca="false">COUNTIF('Use Case Mapping'!$E$5:$E$29,"A4 *")</f>
        <v>5</v>
      </c>
    </row>
    <row r="9" customFormat="false" ht="35.05" hidden="false" customHeight="false" outlineLevel="0" collapsed="false">
      <c r="A9" s="7" t="s">
        <v>228</v>
      </c>
      <c r="B9" s="7" t="s">
        <v>229</v>
      </c>
      <c r="C9" s="5" t="s">
        <v>230</v>
      </c>
      <c r="D9" s="5" t="s">
        <v>231</v>
      </c>
      <c r="E9" s="5" t="s">
        <v>232</v>
      </c>
      <c r="F9" s="15" t="n">
        <f aca="false">COUNTIF('Use Case Mapping'!$D$5:$D$29,"A5 *")</f>
        <v>4</v>
      </c>
      <c r="G9" s="15" t="n">
        <f aca="false">COUNTIF('Use Case Mapping'!$E$5:$E$29,"A5 *")</f>
        <v>1</v>
      </c>
    </row>
    <row r="10" customFormat="false" ht="35.05" hidden="false" customHeight="false" outlineLevel="0" collapsed="false">
      <c r="A10" s="18" t="s">
        <v>233</v>
      </c>
      <c r="B10" s="18" t="s">
        <v>234</v>
      </c>
      <c r="C10" s="6" t="s">
        <v>235</v>
      </c>
      <c r="D10" s="6" t="s">
        <v>236</v>
      </c>
      <c r="E10" s="6" t="s">
        <v>237</v>
      </c>
      <c r="F10" s="17" t="n">
        <f aca="false">COUNTIF('Use Case Mapping'!$D$5:$D$29,"A6 *")</f>
        <v>2</v>
      </c>
      <c r="G10" s="17" t="n">
        <f aca="false">COUNTIF('Use Case Mapping'!$E$5:$E$29,"A6 *")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0"/>
    <col collapsed="false" customWidth="true" hidden="false" outlineLevel="0" max="3" min="3" style="0" width="42"/>
    <col collapsed="false" customWidth="true" hidden="false" outlineLevel="0" max="4" min="4" style="0" width="64"/>
    <col collapsed="false" customWidth="true" hidden="false" outlineLevel="0" max="5" min="5" style="0" width="11"/>
  </cols>
  <sheetData>
    <row r="1" customFormat="false" ht="17.35" hidden="false" customHeight="false" outlineLevel="0" collapsed="false">
      <c r="A1" s="1" t="s">
        <v>238</v>
      </c>
    </row>
    <row r="2" customFormat="false" ht="15" hidden="false" customHeight="false" outlineLevel="0" collapsed="false">
      <c r="A2" s="2" t="s">
        <v>239</v>
      </c>
    </row>
    <row r="4" customFormat="false" ht="23.85" hidden="false" customHeight="false" outlineLevel="0" collapsed="false">
      <c r="A4" s="4" t="s">
        <v>15</v>
      </c>
      <c r="B4" s="4" t="s">
        <v>240</v>
      </c>
      <c r="C4" s="4" t="s">
        <v>40</v>
      </c>
      <c r="D4" s="4" t="s">
        <v>241</v>
      </c>
      <c r="E4" s="4" t="s">
        <v>242</v>
      </c>
    </row>
    <row r="5" customFormat="false" ht="46.25" hidden="false" customHeight="false" outlineLevel="0" collapsed="false">
      <c r="A5" s="9" t="s">
        <v>18</v>
      </c>
      <c r="B5" s="5" t="s">
        <v>243</v>
      </c>
      <c r="C5" s="5" t="s">
        <v>244</v>
      </c>
      <c r="D5" s="5" t="s">
        <v>245</v>
      </c>
      <c r="E5" s="15" t="n">
        <f aca="false">COUNTIF('Use Case Mapping'!$G$5:$G$29,"Tier 1")</f>
        <v>5</v>
      </c>
    </row>
    <row r="6" customFormat="false" ht="35.05" hidden="false" customHeight="false" outlineLevel="0" collapsed="false">
      <c r="A6" s="12" t="s">
        <v>20</v>
      </c>
      <c r="B6" s="5" t="s">
        <v>246</v>
      </c>
      <c r="C6" s="5" t="s">
        <v>247</v>
      </c>
      <c r="D6" s="5" t="s">
        <v>248</v>
      </c>
      <c r="E6" s="15" t="n">
        <f aca="false">COUNTIF('Use Case Mapping'!$G$5:$G$29,"Tier 2")</f>
        <v>13</v>
      </c>
    </row>
    <row r="7" customFormat="false" ht="35.05" hidden="false" customHeight="false" outlineLevel="0" collapsed="false">
      <c r="A7" s="13" t="s">
        <v>22</v>
      </c>
      <c r="B7" s="5" t="s">
        <v>249</v>
      </c>
      <c r="C7" s="5" t="s">
        <v>250</v>
      </c>
      <c r="D7" s="5" t="s">
        <v>251</v>
      </c>
      <c r="E7" s="15" t="n">
        <f aca="false">COUNTIF('Use Case Mapping'!$G$5:$G$29,"Tier 3")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12"/>
    <col collapsed="false" customWidth="true" hidden="false" outlineLevel="0" max="5" min="5" style="0" width="42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252</v>
      </c>
    </row>
    <row r="2" customFormat="false" ht="15" hidden="false" customHeight="false" outlineLevel="0" collapsed="false">
      <c r="A2" s="2" t="s">
        <v>253</v>
      </c>
    </row>
    <row r="4" customFormat="false" ht="15" hidden="false" customHeight="false" outlineLevel="0" collapsed="false">
      <c r="A4" s="4" t="s">
        <v>17</v>
      </c>
      <c r="B4" s="4" t="s">
        <v>254</v>
      </c>
      <c r="C4" s="4" t="s">
        <v>255</v>
      </c>
      <c r="D4" s="4" t="s">
        <v>242</v>
      </c>
      <c r="E4" s="4" t="s">
        <v>256</v>
      </c>
      <c r="F4" s="4" t="s">
        <v>257</v>
      </c>
    </row>
    <row r="5" customFormat="false" ht="23.85" hidden="false" customHeight="false" outlineLevel="0" collapsed="false">
      <c r="A5" s="7" t="s">
        <v>19</v>
      </c>
      <c r="B5" s="5" t="s">
        <v>258</v>
      </c>
      <c r="C5" s="5" t="s">
        <v>259</v>
      </c>
      <c r="D5" s="15" t="n">
        <f aca="false">COUNTIF('Use Case Mapping'!$I$5:$I$29,"W1")</f>
        <v>4</v>
      </c>
      <c r="E5" s="5" t="s">
        <v>260</v>
      </c>
      <c r="F5" s="5" t="s">
        <v>261</v>
      </c>
    </row>
    <row r="6" customFormat="false" ht="57.45" hidden="false" customHeight="false" outlineLevel="0" collapsed="false">
      <c r="A6" s="18" t="s">
        <v>21</v>
      </c>
      <c r="B6" s="6" t="s">
        <v>262</v>
      </c>
      <c r="C6" s="6" t="s">
        <v>263</v>
      </c>
      <c r="D6" s="17" t="n">
        <f aca="false">COUNTIF('Use Case Mapping'!$I$5:$I$29,"W2")</f>
        <v>11</v>
      </c>
      <c r="E6" s="6" t="s">
        <v>264</v>
      </c>
      <c r="F6" s="6" t="s">
        <v>265</v>
      </c>
    </row>
    <row r="7" customFormat="false" ht="46.25" hidden="false" customHeight="false" outlineLevel="0" collapsed="false">
      <c r="A7" s="7" t="s">
        <v>23</v>
      </c>
      <c r="B7" s="5" t="s">
        <v>266</v>
      </c>
      <c r="C7" s="5" t="s">
        <v>267</v>
      </c>
      <c r="D7" s="15" t="n">
        <f aca="false">COUNTIF('Use Case Mapping'!$I$5:$I$29,"W3")</f>
        <v>8</v>
      </c>
      <c r="E7" s="5" t="s">
        <v>268</v>
      </c>
      <c r="F7" s="5" t="s">
        <v>269</v>
      </c>
    </row>
    <row r="8" customFormat="false" ht="35.05" hidden="false" customHeight="false" outlineLevel="0" collapsed="false">
      <c r="A8" s="18" t="s">
        <v>24</v>
      </c>
      <c r="B8" s="6" t="s">
        <v>270</v>
      </c>
      <c r="C8" s="6" t="s">
        <v>271</v>
      </c>
      <c r="D8" s="17" t="n">
        <f aca="false">COUNTIF('Use Case Mapping'!$I$5:$I$29,"W4")</f>
        <v>2</v>
      </c>
      <c r="E8" s="6" t="s">
        <v>272</v>
      </c>
      <c r="F8" s="6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6"/>
    <col collapsed="false" customWidth="true" hidden="false" outlineLevel="0" max="3" min="3" style="0" width="26"/>
    <col collapsed="false" customWidth="true" hidden="false" outlineLevel="0" max="4" min="4" style="0" width="11"/>
  </cols>
  <sheetData>
    <row r="1" customFormat="false" ht="17.35" hidden="false" customHeight="false" outlineLevel="0" collapsed="false">
      <c r="A1" s="1" t="s">
        <v>274</v>
      </c>
    </row>
    <row r="2" customFormat="false" ht="15" hidden="false" customHeight="false" outlineLevel="0" collapsed="false">
      <c r="A2" s="2" t="s">
        <v>275</v>
      </c>
    </row>
    <row r="4" customFormat="false" ht="15" hidden="false" customHeight="false" outlineLevel="0" collapsed="false">
      <c r="A4" s="4" t="s">
        <v>276</v>
      </c>
      <c r="B4" s="4" t="s">
        <v>277</v>
      </c>
      <c r="C4" s="4" t="s">
        <v>278</v>
      </c>
      <c r="D4" s="4" t="s">
        <v>279</v>
      </c>
    </row>
    <row r="5" customFormat="false" ht="23.85" hidden="false" customHeight="false" outlineLevel="0" collapsed="false">
      <c r="A5" s="7" t="s">
        <v>280</v>
      </c>
      <c r="B5" s="5" t="s">
        <v>281</v>
      </c>
      <c r="C5" s="5" t="s">
        <v>282</v>
      </c>
      <c r="D5" s="5" t="s">
        <v>19</v>
      </c>
    </row>
    <row r="6" customFormat="false" ht="23.85" hidden="false" customHeight="false" outlineLevel="0" collapsed="false">
      <c r="A6" s="18" t="s">
        <v>283</v>
      </c>
      <c r="B6" s="6" t="s">
        <v>284</v>
      </c>
      <c r="C6" s="6" t="s">
        <v>282</v>
      </c>
      <c r="D6" s="6" t="s">
        <v>19</v>
      </c>
    </row>
    <row r="7" customFormat="false" ht="23.85" hidden="false" customHeight="false" outlineLevel="0" collapsed="false">
      <c r="A7" s="7" t="s">
        <v>285</v>
      </c>
      <c r="B7" s="5" t="s">
        <v>286</v>
      </c>
      <c r="C7" s="5" t="s">
        <v>282</v>
      </c>
      <c r="D7" s="5" t="s">
        <v>19</v>
      </c>
    </row>
    <row r="8" customFormat="false" ht="23.85" hidden="false" customHeight="false" outlineLevel="0" collapsed="false">
      <c r="A8" s="18" t="s">
        <v>287</v>
      </c>
      <c r="B8" s="6" t="s">
        <v>288</v>
      </c>
      <c r="C8" s="6" t="s">
        <v>289</v>
      </c>
      <c r="D8" s="6" t="s">
        <v>21</v>
      </c>
    </row>
    <row r="9" customFormat="false" ht="23.85" hidden="false" customHeight="false" outlineLevel="0" collapsed="false">
      <c r="A9" s="7" t="s">
        <v>290</v>
      </c>
      <c r="B9" s="5" t="s">
        <v>291</v>
      </c>
      <c r="C9" s="5" t="s">
        <v>292</v>
      </c>
      <c r="D9" s="5" t="s">
        <v>293</v>
      </c>
    </row>
    <row r="10" customFormat="false" ht="23.85" hidden="false" customHeight="false" outlineLevel="0" collapsed="false">
      <c r="A10" s="18" t="s">
        <v>294</v>
      </c>
      <c r="B10" s="6" t="s">
        <v>295</v>
      </c>
      <c r="C10" s="6" t="s">
        <v>296</v>
      </c>
      <c r="D10" s="6" t="s">
        <v>21</v>
      </c>
    </row>
    <row r="11" customFormat="false" ht="23.85" hidden="false" customHeight="false" outlineLevel="0" collapsed="false">
      <c r="A11" s="7" t="s">
        <v>297</v>
      </c>
      <c r="B11" s="5" t="s">
        <v>298</v>
      </c>
      <c r="C11" s="5" t="s">
        <v>223</v>
      </c>
      <c r="D11" s="5" t="s">
        <v>21</v>
      </c>
    </row>
    <row r="12" customFormat="false" ht="23.85" hidden="false" customHeight="false" outlineLevel="0" collapsed="false">
      <c r="A12" s="18" t="s">
        <v>299</v>
      </c>
      <c r="B12" s="6" t="s">
        <v>300</v>
      </c>
      <c r="C12" s="6" t="s">
        <v>301</v>
      </c>
      <c r="D12" s="6" t="s">
        <v>21</v>
      </c>
    </row>
    <row r="13" customFormat="false" ht="23.85" hidden="false" customHeight="false" outlineLevel="0" collapsed="false">
      <c r="A13" s="7" t="s">
        <v>302</v>
      </c>
      <c r="B13" s="5" t="s">
        <v>303</v>
      </c>
      <c r="C13" s="5" t="s">
        <v>304</v>
      </c>
      <c r="D13" s="5" t="s">
        <v>305</v>
      </c>
    </row>
    <row r="14" customFormat="false" ht="23.85" hidden="false" customHeight="false" outlineLevel="0" collapsed="false">
      <c r="A14" s="18" t="s">
        <v>306</v>
      </c>
      <c r="B14" s="6" t="s">
        <v>307</v>
      </c>
      <c r="C14" s="6" t="s">
        <v>308</v>
      </c>
      <c r="D14" s="6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2026-06-12T03:46:49Z</dcterms:created>
  <dc:creator>openpyxl</dc:creator>
  <dc:description/>
  <dc:language>en-US</dc:language>
  <cp:lastModifiedBy/>
  <dcterms:modified xsi:type="dcterms:W3CDTF">2026-06-12T03:46:49Z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